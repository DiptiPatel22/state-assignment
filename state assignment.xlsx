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3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3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4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b6a70c1381c2707/Documents/"/>
    </mc:Choice>
  </mc:AlternateContent>
  <xr:revisionPtr revIDLastSave="1202" documentId="8_{F927526D-3888-4BD3-92B3-8FA59908C1B1}" xr6:coauthVersionLast="47" xr6:coauthVersionMax="47" xr10:uidLastSave="{193B553A-D276-486A-975F-18B6BAE502AA}"/>
  <bookViews>
    <workbookView xWindow="-108" yWindow="-108" windowWidth="23256" windowHeight="13896" xr2:uid="{2C2BC30B-237C-4E62-BC35-191067655E29}"/>
  </bookViews>
  <sheets>
    <sheet name="Sheet2" sheetId="2" r:id="rId1"/>
  </sheets>
  <definedNames>
    <definedName name="_xlchart.v1.0" hidden="1">Sheet2!$B$514:$B$613</definedName>
    <definedName name="_xlchart.v1.1" hidden="1">Sheet2!$B$617:$B$665</definedName>
    <definedName name="_xlchart.v1.2" hidden="1">Sheet2!$B$669:$B$767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775" i="2" l="1"/>
  <c r="R776" i="2"/>
  <c r="Q775" i="2"/>
  <c r="Q776" i="2"/>
  <c r="P775" i="2"/>
  <c r="P776" i="2"/>
  <c r="O775" i="2"/>
  <c r="O776" i="2"/>
  <c r="R774" i="2"/>
  <c r="Q774" i="2"/>
  <c r="P774" i="2"/>
  <c r="O774" i="2"/>
  <c r="Q621" i="2"/>
  <c r="E566" i="2"/>
  <c r="E363" i="2"/>
  <c r="E362" i="2"/>
  <c r="E361" i="2"/>
  <c r="E360" i="2"/>
  <c r="E359" i="2"/>
  <c r="S351" i="2"/>
  <c r="S352" i="2"/>
  <c r="S353" i="2"/>
  <c r="S354" i="2"/>
  <c r="R351" i="2"/>
  <c r="R352" i="2"/>
  <c r="R353" i="2"/>
  <c r="R354" i="2"/>
  <c r="Q351" i="2"/>
  <c r="Q352" i="2"/>
  <c r="Q353" i="2"/>
  <c r="Q354" i="2"/>
  <c r="S350" i="2"/>
  <c r="R350" i="2"/>
  <c r="Q350" i="2"/>
  <c r="P351" i="2"/>
  <c r="P352" i="2"/>
  <c r="P353" i="2"/>
  <c r="P354" i="2"/>
  <c r="P350" i="2"/>
  <c r="O351" i="2"/>
  <c r="O352" i="2"/>
  <c r="O353" i="2"/>
  <c r="O354" i="2"/>
  <c r="O350" i="2"/>
  <c r="F257" i="2"/>
  <c r="F256" i="2"/>
  <c r="F255" i="2"/>
  <c r="F254" i="2"/>
  <c r="F253" i="2"/>
  <c r="F252" i="2"/>
  <c r="F251" i="2"/>
  <c r="F250" i="2"/>
  <c r="F249" i="2"/>
  <c r="F207" i="2"/>
  <c r="F206" i="2"/>
  <c r="F204" i="2"/>
  <c r="F203" i="2"/>
  <c r="F202" i="2"/>
  <c r="F201" i="2"/>
  <c r="F200" i="2"/>
  <c r="F199" i="2"/>
  <c r="F198" i="2"/>
  <c r="F197" i="2"/>
  <c r="F194" i="2"/>
  <c r="F193" i="2"/>
  <c r="F190" i="2"/>
  <c r="F189" i="2"/>
  <c r="F188" i="2"/>
  <c r="F187" i="2"/>
  <c r="F186" i="2"/>
  <c r="F185" i="2"/>
  <c r="F184" i="2"/>
  <c r="F183" i="2"/>
  <c r="E136" i="2"/>
  <c r="E135" i="2"/>
  <c r="E134" i="2"/>
  <c r="E132" i="2"/>
  <c r="E131" i="2"/>
  <c r="E103" i="2"/>
  <c r="E104" i="2"/>
  <c r="E102" i="2"/>
  <c r="E100" i="2"/>
  <c r="E99" i="2"/>
  <c r="F89" i="2"/>
  <c r="F88" i="2"/>
  <c r="I88" i="2"/>
  <c r="I87" i="2"/>
  <c r="E33" i="2"/>
  <c r="E32" i="2"/>
  <c r="E31" i="2"/>
  <c r="F12" i="2"/>
  <c r="F11" i="2"/>
  <c r="F10" i="2"/>
  <c r="F5" i="2"/>
  <c r="F4" i="2"/>
  <c r="F3" i="2"/>
  <c r="F87" i="2" l="1"/>
</calcChain>
</file>

<file path=xl/sharedStrings.xml><?xml version="1.0" encoding="utf-8"?>
<sst xmlns="http://schemas.openxmlformats.org/spreadsheetml/2006/main" count="102" uniqueCount="47">
  <si>
    <t>week 1</t>
  </si>
  <si>
    <t>week 2</t>
  </si>
  <si>
    <t>week 3</t>
  </si>
  <si>
    <t>week 4</t>
  </si>
  <si>
    <t>Questions</t>
  </si>
  <si>
    <t xml:space="preserve">mean = </t>
  </si>
  <si>
    <t>median</t>
  </si>
  <si>
    <t>mode</t>
  </si>
  <si>
    <t>waiting time</t>
  </si>
  <si>
    <t>mean</t>
  </si>
  <si>
    <t>rental duration</t>
  </si>
  <si>
    <t>units</t>
  </si>
  <si>
    <t xml:space="preserve">day </t>
  </si>
  <si>
    <t xml:space="preserve">day 1 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</si>
  <si>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</si>
  <si>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</si>
  <si>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</si>
  <si>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</si>
  <si>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</si>
  <si>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</si>
  <si>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</si>
  <si>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</si>
  <si>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</si>
  <si>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range</t>
  </si>
  <si>
    <t>variance</t>
  </si>
  <si>
    <t>standard deviation</t>
  </si>
  <si>
    <t>min</t>
  </si>
  <si>
    <t>max</t>
  </si>
  <si>
    <t>measure of dispersion</t>
  </si>
  <si>
    <t>sales (dollars)</t>
  </si>
  <si>
    <t>std dev</t>
  </si>
  <si>
    <t>monthly revenue</t>
  </si>
  <si>
    <t>min dev</t>
  </si>
  <si>
    <t>quartile dev</t>
  </si>
  <si>
    <t>frist quartile</t>
  </si>
  <si>
    <t>third quartile</t>
  </si>
  <si>
    <t xml:space="preserve">min dev  </t>
  </si>
  <si>
    <t xml:space="preserve">model A </t>
  </si>
  <si>
    <t xml:space="preserve">model B </t>
  </si>
  <si>
    <t>model C</t>
  </si>
  <si>
    <t>model D</t>
  </si>
  <si>
    <t>model E</t>
  </si>
  <si>
    <t>REGION 2</t>
  </si>
  <si>
    <t xml:space="preserve">REGION3 </t>
  </si>
  <si>
    <t>REGION 1</t>
  </si>
  <si>
    <t xml:space="preserve">mean </t>
  </si>
  <si>
    <t>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</si>
</sst>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bar chart</a:t>
            </a:r>
          </a:p>
        </c:rich>
      </c:tx>
      <c:layout>
        <c:manualLayout>
          <c:xMode val="edge"/>
          <c:yMode val="edge"/>
          <c:x val="0.46131897203325772"/>
          <c:y val="2.0811654526534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97A-41D9-B096-1AD4AE0377D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97A-41D9-B096-1AD4AE0377D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97A-41D9-B096-1AD4AE0377D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97A-41D9-B096-1AD4AE0377D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97A-41D9-B096-1AD4AE0377D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97A-41D9-B096-1AD4AE0377D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297A-41D9-B096-1AD4AE0377D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297A-41D9-B096-1AD4AE0377D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297A-41D9-B096-1AD4AE0377D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297A-41D9-B096-1AD4AE0377D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297A-41D9-B096-1AD4AE0377D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297A-41D9-B096-1AD4AE0377DB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297A-41D9-B096-1AD4AE0377DB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297A-41D9-B096-1AD4AE0377DB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297A-41D9-B096-1AD4AE0377DB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297A-41D9-B096-1AD4AE0377DB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297A-41D9-B096-1AD4AE0377DB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297A-41D9-B096-1AD4AE0377DB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297A-41D9-B096-1AD4AE0377DB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297A-41D9-B096-1AD4AE0377DB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297A-41D9-B096-1AD4AE0377DB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297A-41D9-B096-1AD4AE0377DB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297A-41D9-B096-1AD4AE0377DB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297A-41D9-B096-1AD4AE0377DB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297A-41D9-B096-1AD4AE0377DB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297A-41D9-B096-1AD4AE0377DB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297A-41D9-B096-1AD4AE0377DB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297A-41D9-B096-1AD4AE0377DB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297A-41D9-B096-1AD4AE0377DB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297A-41D9-B096-1AD4AE0377DB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297A-41D9-B096-1AD4AE0377DB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297A-41D9-B096-1AD4AE0377DB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297A-41D9-B096-1AD4AE0377DB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297A-41D9-B096-1AD4AE0377DB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297A-41D9-B096-1AD4AE0377DB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297A-41D9-B096-1AD4AE0377DB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297A-41D9-B096-1AD4AE0377DB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B-297A-41D9-B096-1AD4AE0377DB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D-297A-41D9-B096-1AD4AE0377DB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F-297A-41D9-B096-1AD4AE0377DB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1-297A-41D9-B096-1AD4AE0377DB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3-297A-41D9-B096-1AD4AE0377DB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5-297A-41D9-B096-1AD4AE0377DB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7-297A-41D9-B096-1AD4AE0377DB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9-297A-41D9-B096-1AD4AE0377DB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B-297A-41D9-B096-1AD4AE0377DB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D-297A-41D9-B096-1AD4AE0377DB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F-297A-41D9-B096-1AD4AE0377DB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1-297A-41D9-B096-1AD4AE0377DB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3-297A-41D9-B096-1AD4AE0377DB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5-297A-41D9-B096-1AD4AE0377DB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7-297A-41D9-B096-1AD4AE0377DB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9-297A-41D9-B096-1AD4AE0377DB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B-297A-41D9-B096-1AD4AE0377DB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D-297A-41D9-B096-1AD4AE0377DB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F-297A-41D9-B096-1AD4AE0377DB}"/>
              </c:ext>
            </c:extLst>
          </c:dPt>
          <c:dPt>
            <c:idx val="5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1-297A-41D9-B096-1AD4AE0377DB}"/>
              </c:ext>
            </c:extLst>
          </c:dPt>
          <c:dPt>
            <c:idx val="5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3-297A-41D9-B096-1AD4AE0377DB}"/>
              </c:ext>
            </c:extLst>
          </c:dPt>
          <c:dPt>
            <c:idx val="5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5-297A-41D9-B096-1AD4AE0377DB}"/>
              </c:ext>
            </c:extLst>
          </c:dPt>
          <c:dPt>
            <c:idx val="5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7-297A-41D9-B096-1AD4AE0377DB}"/>
              </c:ext>
            </c:extLst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9-297A-41D9-B096-1AD4AE0377DB}"/>
              </c:ext>
            </c:extLst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B-297A-41D9-B096-1AD4AE0377DB}"/>
              </c:ext>
            </c:extLst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D-297A-41D9-B096-1AD4AE0377DB}"/>
              </c:ext>
            </c:extLst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F-297A-41D9-B096-1AD4AE0377DB}"/>
              </c:ext>
            </c:extLst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1-297A-41D9-B096-1AD4AE0377DB}"/>
              </c:ext>
            </c:extLst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3-297A-41D9-B096-1AD4AE0377DB}"/>
              </c:ext>
            </c:extLst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5-297A-41D9-B096-1AD4AE0377DB}"/>
              </c:ext>
            </c:extLst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7-297A-41D9-B096-1AD4AE0377DB}"/>
              </c:ext>
            </c:extLst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9-297A-41D9-B096-1AD4AE0377DB}"/>
              </c:ext>
            </c:extLst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B-297A-41D9-B096-1AD4AE0377DB}"/>
              </c:ext>
            </c:extLst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D-297A-41D9-B096-1AD4AE0377DB}"/>
              </c:ext>
            </c:extLst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F-297A-41D9-B096-1AD4AE0377DB}"/>
              </c:ext>
            </c:extLst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1-297A-41D9-B096-1AD4AE0377DB}"/>
              </c:ext>
            </c:extLst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3-297A-41D9-B096-1AD4AE0377DB}"/>
              </c:ext>
            </c:extLst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5-297A-41D9-B096-1AD4AE0377DB}"/>
              </c:ext>
            </c:extLst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7-297A-41D9-B096-1AD4AE0377DB}"/>
              </c:ext>
            </c:extLst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9-297A-41D9-B096-1AD4AE0377DB}"/>
              </c:ext>
            </c:extLst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B-297A-41D9-B096-1AD4AE0377DB}"/>
              </c:ext>
            </c:extLst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D-297A-41D9-B096-1AD4AE0377DB}"/>
              </c:ext>
            </c:extLst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F-297A-41D9-B096-1AD4AE0377DB}"/>
              </c:ext>
            </c:extLst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1-297A-41D9-B096-1AD4AE0377DB}"/>
              </c:ext>
            </c:extLst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3-297A-41D9-B096-1AD4AE0377DB}"/>
              </c:ext>
            </c:extLst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5-297A-41D9-B096-1AD4AE0377DB}"/>
              </c:ext>
            </c:extLst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7-297A-41D9-B096-1AD4AE0377DB}"/>
              </c:ext>
            </c:extLst>
          </c:dPt>
          <c:dPt>
            <c:idx val="8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9-297A-41D9-B096-1AD4AE0377DB}"/>
              </c:ext>
            </c:extLst>
          </c:dPt>
          <c:dPt>
            <c:idx val="8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B-297A-41D9-B096-1AD4AE0377DB}"/>
              </c:ext>
            </c:extLst>
          </c:dPt>
          <c:dPt>
            <c:idx val="8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D-297A-41D9-B096-1AD4AE0377DB}"/>
              </c:ext>
            </c:extLst>
          </c:dPt>
          <c:dPt>
            <c:idx val="8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F-297A-41D9-B096-1AD4AE0377DB}"/>
              </c:ext>
            </c:extLst>
          </c:dPt>
          <c:dPt>
            <c:idx val="8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1-297A-41D9-B096-1AD4AE0377DB}"/>
              </c:ext>
            </c:extLst>
          </c:dPt>
          <c:dPt>
            <c:idx val="8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3-297A-41D9-B096-1AD4AE0377DB}"/>
              </c:ext>
            </c:extLst>
          </c:dPt>
          <c:dPt>
            <c:idx val="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5-297A-41D9-B096-1AD4AE0377DB}"/>
              </c:ext>
            </c:extLst>
          </c:dPt>
          <c:dPt>
            <c:idx val="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7-297A-41D9-B096-1AD4AE0377DB}"/>
              </c:ext>
            </c:extLst>
          </c:dPt>
          <c:dPt>
            <c:idx val="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9-297A-41D9-B096-1AD4AE0377DB}"/>
              </c:ext>
            </c:extLst>
          </c:dPt>
          <c:dPt>
            <c:idx val="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B-297A-41D9-B096-1AD4AE0377DB}"/>
              </c:ext>
            </c:extLst>
          </c:dPt>
          <c:dPt>
            <c:idx val="9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D-297A-41D9-B096-1AD4AE0377DB}"/>
              </c:ext>
            </c:extLst>
          </c:dPt>
          <c:dPt>
            <c:idx val="9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F-297A-41D9-B096-1AD4AE0377DB}"/>
              </c:ext>
            </c:extLst>
          </c:dPt>
          <c:dPt>
            <c:idx val="9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1-297A-41D9-B096-1AD4AE0377DB}"/>
              </c:ext>
            </c:extLst>
          </c:dPt>
          <c:dPt>
            <c:idx val="9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3-297A-41D9-B096-1AD4AE0377DB}"/>
              </c:ext>
            </c:extLst>
          </c:dPt>
          <c:dPt>
            <c:idx val="9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5-297A-41D9-B096-1AD4AE0377DB}"/>
              </c:ext>
            </c:extLst>
          </c:dPt>
          <c:dPt>
            <c:idx val="9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7-297A-41D9-B096-1AD4AE0377DB}"/>
              </c:ext>
            </c:extLst>
          </c:dPt>
          <c:val>
            <c:numRef>
              <c:f>Sheet2!$B$514:$B$613</c:f>
              <c:numCache>
                <c:formatCode>General</c:formatCode>
                <c:ptCount val="100"/>
                <c:pt idx="0">
                  <c:v>4</c:v>
                </c:pt>
                <c:pt idx="1">
                  <c:v>5</c:v>
                </c:pt>
                <c:pt idx="2">
                  <c:v>3</c:v>
                </c:pt>
                <c:pt idx="3">
                  <c:v>4</c:v>
                </c:pt>
                <c:pt idx="4">
                  <c:v>4</c:v>
                </c:pt>
                <c:pt idx="5">
                  <c:v>3</c:v>
                </c:pt>
                <c:pt idx="6">
                  <c:v>2</c:v>
                </c:pt>
                <c:pt idx="7">
                  <c:v>5</c:v>
                </c:pt>
                <c:pt idx="8">
                  <c:v>4</c:v>
                </c:pt>
                <c:pt idx="9">
                  <c:v>3</c:v>
                </c:pt>
                <c:pt idx="10">
                  <c:v>5</c:v>
                </c:pt>
                <c:pt idx="11">
                  <c:v>4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3</c:v>
                </c:pt>
                <c:pt idx="17">
                  <c:v>4</c:v>
                </c:pt>
                <c:pt idx="18">
                  <c:v>5</c:v>
                </c:pt>
                <c:pt idx="19">
                  <c:v>3</c:v>
                </c:pt>
                <c:pt idx="20">
                  <c:v>4</c:v>
                </c:pt>
                <c:pt idx="21">
                  <c:v>3</c:v>
                </c:pt>
                <c:pt idx="22">
                  <c:v>2</c:v>
                </c:pt>
                <c:pt idx="23">
                  <c:v>4</c:v>
                </c:pt>
                <c:pt idx="24">
                  <c:v>5</c:v>
                </c:pt>
                <c:pt idx="25">
                  <c:v>3</c:v>
                </c:pt>
                <c:pt idx="26">
                  <c:v>4</c:v>
                </c:pt>
                <c:pt idx="27">
                  <c:v>5</c:v>
                </c:pt>
                <c:pt idx="28">
                  <c:v>4</c:v>
                </c:pt>
                <c:pt idx="29">
                  <c:v>3</c:v>
                </c:pt>
                <c:pt idx="30">
                  <c:v>3</c:v>
                </c:pt>
                <c:pt idx="31">
                  <c:v>4</c:v>
                </c:pt>
                <c:pt idx="32">
                  <c:v>5</c:v>
                </c:pt>
                <c:pt idx="33">
                  <c:v>2</c:v>
                </c:pt>
                <c:pt idx="34">
                  <c:v>3</c:v>
                </c:pt>
                <c:pt idx="35">
                  <c:v>4</c:v>
                </c:pt>
                <c:pt idx="36">
                  <c:v>4</c:v>
                </c:pt>
                <c:pt idx="37">
                  <c:v>3</c:v>
                </c:pt>
                <c:pt idx="38">
                  <c:v>5</c:v>
                </c:pt>
                <c:pt idx="39">
                  <c:v>4</c:v>
                </c:pt>
                <c:pt idx="40">
                  <c:v>3</c:v>
                </c:pt>
                <c:pt idx="41">
                  <c:v>4</c:v>
                </c:pt>
                <c:pt idx="42">
                  <c:v>5</c:v>
                </c:pt>
                <c:pt idx="43">
                  <c:v>4</c:v>
                </c:pt>
                <c:pt idx="44">
                  <c:v>2</c:v>
                </c:pt>
                <c:pt idx="45">
                  <c:v>3</c:v>
                </c:pt>
                <c:pt idx="46">
                  <c:v>4</c:v>
                </c:pt>
                <c:pt idx="47">
                  <c:v>5</c:v>
                </c:pt>
                <c:pt idx="48">
                  <c:v>3</c:v>
                </c:pt>
                <c:pt idx="49">
                  <c:v>4</c:v>
                </c:pt>
                <c:pt idx="50">
                  <c:v>5</c:v>
                </c:pt>
                <c:pt idx="51">
                  <c:v>4</c:v>
                </c:pt>
                <c:pt idx="52">
                  <c:v>3</c:v>
                </c:pt>
                <c:pt idx="53">
                  <c:v>4</c:v>
                </c:pt>
                <c:pt idx="54">
                  <c:v>5</c:v>
                </c:pt>
                <c:pt idx="55">
                  <c:v>3</c:v>
                </c:pt>
                <c:pt idx="56">
                  <c:v>4</c:v>
                </c:pt>
                <c:pt idx="57">
                  <c:v>5</c:v>
                </c:pt>
                <c:pt idx="58">
                  <c:v>4</c:v>
                </c:pt>
                <c:pt idx="59">
                  <c:v>3</c:v>
                </c:pt>
                <c:pt idx="60">
                  <c:v>3</c:v>
                </c:pt>
                <c:pt idx="61">
                  <c:v>4</c:v>
                </c:pt>
                <c:pt idx="62">
                  <c:v>5</c:v>
                </c:pt>
                <c:pt idx="63">
                  <c:v>2</c:v>
                </c:pt>
                <c:pt idx="64">
                  <c:v>3</c:v>
                </c:pt>
                <c:pt idx="65">
                  <c:v>4</c:v>
                </c:pt>
                <c:pt idx="66">
                  <c:v>4</c:v>
                </c:pt>
                <c:pt idx="67">
                  <c:v>3</c:v>
                </c:pt>
                <c:pt idx="68">
                  <c:v>5</c:v>
                </c:pt>
                <c:pt idx="69">
                  <c:v>4</c:v>
                </c:pt>
                <c:pt idx="70">
                  <c:v>3</c:v>
                </c:pt>
                <c:pt idx="71">
                  <c:v>4</c:v>
                </c:pt>
                <c:pt idx="72">
                  <c:v>5</c:v>
                </c:pt>
                <c:pt idx="73">
                  <c:v>4</c:v>
                </c:pt>
                <c:pt idx="74">
                  <c:v>2</c:v>
                </c:pt>
                <c:pt idx="75">
                  <c:v>3</c:v>
                </c:pt>
                <c:pt idx="76">
                  <c:v>4</c:v>
                </c:pt>
                <c:pt idx="77">
                  <c:v>5</c:v>
                </c:pt>
                <c:pt idx="78">
                  <c:v>3</c:v>
                </c:pt>
                <c:pt idx="79">
                  <c:v>4</c:v>
                </c:pt>
                <c:pt idx="80">
                  <c:v>5</c:v>
                </c:pt>
                <c:pt idx="81">
                  <c:v>4</c:v>
                </c:pt>
                <c:pt idx="82">
                  <c:v>3</c:v>
                </c:pt>
                <c:pt idx="83">
                  <c:v>4</c:v>
                </c:pt>
                <c:pt idx="84">
                  <c:v>5</c:v>
                </c:pt>
                <c:pt idx="85">
                  <c:v>3</c:v>
                </c:pt>
                <c:pt idx="86">
                  <c:v>4</c:v>
                </c:pt>
                <c:pt idx="87">
                  <c:v>5</c:v>
                </c:pt>
                <c:pt idx="88">
                  <c:v>4</c:v>
                </c:pt>
                <c:pt idx="89">
                  <c:v>3</c:v>
                </c:pt>
                <c:pt idx="90">
                  <c:v>3</c:v>
                </c:pt>
                <c:pt idx="91">
                  <c:v>4</c:v>
                </c:pt>
                <c:pt idx="92">
                  <c:v>5</c:v>
                </c:pt>
                <c:pt idx="93">
                  <c:v>2</c:v>
                </c:pt>
                <c:pt idx="94">
                  <c:v>3</c:v>
                </c:pt>
                <c:pt idx="95">
                  <c:v>4</c:v>
                </c:pt>
                <c:pt idx="96">
                  <c:v>4</c:v>
                </c:pt>
                <c:pt idx="97">
                  <c:v>3</c:v>
                </c:pt>
                <c:pt idx="98">
                  <c:v>5</c:v>
                </c:pt>
                <c:pt idx="9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89-40A7-B625-42EA267FBF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bar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92D-4DFE-9690-1B795D168E5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92D-4DFE-9690-1B795D168E5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92D-4DFE-9690-1B795D168E5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92D-4DFE-9690-1B795D168E5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92D-4DFE-9690-1B795D168E5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92D-4DFE-9690-1B795D168E5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992D-4DFE-9690-1B795D168E5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992D-4DFE-9690-1B795D168E5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992D-4DFE-9690-1B795D168E5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992D-4DFE-9690-1B795D168E5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992D-4DFE-9690-1B795D168E5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992D-4DFE-9690-1B795D168E59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992D-4DFE-9690-1B795D168E59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992D-4DFE-9690-1B795D168E59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992D-4DFE-9690-1B795D168E59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992D-4DFE-9690-1B795D168E59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992D-4DFE-9690-1B795D168E59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992D-4DFE-9690-1B795D168E59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992D-4DFE-9690-1B795D168E59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992D-4DFE-9690-1B795D168E59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992D-4DFE-9690-1B795D168E59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992D-4DFE-9690-1B795D168E59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992D-4DFE-9690-1B795D168E59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992D-4DFE-9690-1B795D168E59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992D-4DFE-9690-1B795D168E59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992D-4DFE-9690-1B795D168E59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992D-4DFE-9690-1B795D168E59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992D-4DFE-9690-1B795D168E59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992D-4DFE-9690-1B795D168E59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992D-4DFE-9690-1B795D168E59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992D-4DFE-9690-1B795D168E59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992D-4DFE-9690-1B795D168E59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992D-4DFE-9690-1B795D168E59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992D-4DFE-9690-1B795D168E59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992D-4DFE-9690-1B795D168E59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992D-4DFE-9690-1B795D168E59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992D-4DFE-9690-1B795D168E59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B-992D-4DFE-9690-1B795D168E59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D-992D-4DFE-9690-1B795D168E59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F-992D-4DFE-9690-1B795D168E59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1-992D-4DFE-9690-1B795D168E59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3-992D-4DFE-9690-1B795D168E59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5-992D-4DFE-9690-1B795D168E59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7-992D-4DFE-9690-1B795D168E59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9-992D-4DFE-9690-1B795D168E59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B-992D-4DFE-9690-1B795D168E59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D-992D-4DFE-9690-1B795D168E59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F-992D-4DFE-9690-1B795D168E59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1-992D-4DFE-9690-1B795D168E59}"/>
              </c:ext>
            </c:extLst>
          </c:dPt>
          <c:val>
            <c:numRef>
              <c:f>Sheet2!$B$617:$B$665</c:f>
              <c:numCache>
                <c:formatCode>General</c:formatCode>
                <c:ptCount val="49"/>
                <c:pt idx="0">
                  <c:v>35</c:v>
                </c:pt>
                <c:pt idx="1">
                  <c:v>28</c:v>
                </c:pt>
                <c:pt idx="2">
                  <c:v>32</c:v>
                </c:pt>
                <c:pt idx="3">
                  <c:v>45</c:v>
                </c:pt>
                <c:pt idx="4">
                  <c:v>38</c:v>
                </c:pt>
                <c:pt idx="5">
                  <c:v>29</c:v>
                </c:pt>
                <c:pt idx="6">
                  <c:v>42</c:v>
                </c:pt>
                <c:pt idx="7">
                  <c:v>30</c:v>
                </c:pt>
                <c:pt idx="8">
                  <c:v>36</c:v>
                </c:pt>
                <c:pt idx="9">
                  <c:v>41</c:v>
                </c:pt>
                <c:pt idx="10">
                  <c:v>31</c:v>
                </c:pt>
                <c:pt idx="11">
                  <c:v>39</c:v>
                </c:pt>
                <c:pt idx="12">
                  <c:v>43</c:v>
                </c:pt>
                <c:pt idx="13">
                  <c:v>37</c:v>
                </c:pt>
                <c:pt idx="14">
                  <c:v>30</c:v>
                </c:pt>
                <c:pt idx="15">
                  <c:v>34</c:v>
                </c:pt>
                <c:pt idx="16">
                  <c:v>39</c:v>
                </c:pt>
                <c:pt idx="17">
                  <c:v>28</c:v>
                </c:pt>
                <c:pt idx="18">
                  <c:v>33</c:v>
                </c:pt>
                <c:pt idx="19">
                  <c:v>36</c:v>
                </c:pt>
                <c:pt idx="20">
                  <c:v>40</c:v>
                </c:pt>
                <c:pt idx="21">
                  <c:v>42</c:v>
                </c:pt>
                <c:pt idx="22">
                  <c:v>29</c:v>
                </c:pt>
                <c:pt idx="23">
                  <c:v>31</c:v>
                </c:pt>
                <c:pt idx="24">
                  <c:v>45</c:v>
                </c:pt>
                <c:pt idx="25">
                  <c:v>38</c:v>
                </c:pt>
                <c:pt idx="26">
                  <c:v>33</c:v>
                </c:pt>
                <c:pt idx="27">
                  <c:v>41</c:v>
                </c:pt>
                <c:pt idx="28">
                  <c:v>35</c:v>
                </c:pt>
                <c:pt idx="29">
                  <c:v>37</c:v>
                </c:pt>
                <c:pt idx="30">
                  <c:v>34</c:v>
                </c:pt>
                <c:pt idx="31">
                  <c:v>46</c:v>
                </c:pt>
                <c:pt idx="32">
                  <c:v>30</c:v>
                </c:pt>
                <c:pt idx="33">
                  <c:v>39</c:v>
                </c:pt>
                <c:pt idx="34">
                  <c:v>43</c:v>
                </c:pt>
                <c:pt idx="35">
                  <c:v>28</c:v>
                </c:pt>
                <c:pt idx="36">
                  <c:v>32</c:v>
                </c:pt>
                <c:pt idx="37">
                  <c:v>36</c:v>
                </c:pt>
                <c:pt idx="38">
                  <c:v>29</c:v>
                </c:pt>
                <c:pt idx="39">
                  <c:v>31</c:v>
                </c:pt>
                <c:pt idx="40">
                  <c:v>37</c:v>
                </c:pt>
                <c:pt idx="41">
                  <c:v>40</c:v>
                </c:pt>
                <c:pt idx="42">
                  <c:v>42</c:v>
                </c:pt>
                <c:pt idx="43">
                  <c:v>33</c:v>
                </c:pt>
                <c:pt idx="44">
                  <c:v>39</c:v>
                </c:pt>
                <c:pt idx="45">
                  <c:v>28</c:v>
                </c:pt>
                <c:pt idx="46">
                  <c:v>35</c:v>
                </c:pt>
                <c:pt idx="47">
                  <c:v>38</c:v>
                </c:pt>
                <c:pt idx="48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FE-4B7E-816A-77A11E159F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ADF-4BCF-B3DE-06A137EE5FD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ADF-4BCF-B3DE-06A137EE5FD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ADF-4BCF-B3DE-06A137EE5FD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ADF-4BCF-B3DE-06A137EE5FD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ADF-4BCF-B3DE-06A137EE5FD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ADF-4BCF-B3DE-06A137EE5FD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CADF-4BCF-B3DE-06A137EE5FD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CADF-4BCF-B3DE-06A137EE5FD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CADF-4BCF-B3DE-06A137EE5FD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CADF-4BCF-B3DE-06A137EE5FD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CADF-4BCF-B3DE-06A137EE5FD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CADF-4BCF-B3DE-06A137EE5FDF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CADF-4BCF-B3DE-06A137EE5FDF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CADF-4BCF-B3DE-06A137EE5FDF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CADF-4BCF-B3DE-06A137EE5FDF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CADF-4BCF-B3DE-06A137EE5FDF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CADF-4BCF-B3DE-06A137EE5FDF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CADF-4BCF-B3DE-06A137EE5FDF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CADF-4BCF-B3DE-06A137EE5FDF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CADF-4BCF-B3DE-06A137EE5FDF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CADF-4BCF-B3DE-06A137EE5FDF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CADF-4BCF-B3DE-06A137EE5FDF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CADF-4BCF-B3DE-06A137EE5FDF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CADF-4BCF-B3DE-06A137EE5FDF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CADF-4BCF-B3DE-06A137EE5FDF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CADF-4BCF-B3DE-06A137EE5FDF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CADF-4BCF-B3DE-06A137EE5FDF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CADF-4BCF-B3DE-06A137EE5FDF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CADF-4BCF-B3DE-06A137EE5FDF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CADF-4BCF-B3DE-06A137EE5FDF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CADF-4BCF-B3DE-06A137EE5FDF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CADF-4BCF-B3DE-06A137EE5FDF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CADF-4BCF-B3DE-06A137EE5FDF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CADF-4BCF-B3DE-06A137EE5FDF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CADF-4BCF-B3DE-06A137EE5FDF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CADF-4BCF-B3DE-06A137EE5FDF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CADF-4BCF-B3DE-06A137EE5FDF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B-CADF-4BCF-B3DE-06A137EE5FDF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D-CADF-4BCF-B3DE-06A137EE5FDF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F-CADF-4BCF-B3DE-06A137EE5FDF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1-CADF-4BCF-B3DE-06A137EE5FDF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3-CADF-4BCF-B3DE-06A137EE5FDF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5-CADF-4BCF-B3DE-06A137EE5FDF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7-CADF-4BCF-B3DE-06A137EE5FDF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9-CADF-4BCF-B3DE-06A137EE5FDF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B-CADF-4BCF-B3DE-06A137EE5FDF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D-CADF-4BCF-B3DE-06A137EE5FDF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F-CADF-4BCF-B3DE-06A137EE5FDF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1-CADF-4BCF-B3DE-06A137EE5FDF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3-CADF-4BCF-B3DE-06A137EE5FDF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5-CADF-4BCF-B3DE-06A137EE5FDF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7-CADF-4BCF-B3DE-06A137EE5FDF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9-CADF-4BCF-B3DE-06A137EE5FDF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B-CADF-4BCF-B3DE-06A137EE5FDF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D-CADF-4BCF-B3DE-06A137EE5FDF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F-CADF-4BCF-B3DE-06A137EE5FDF}"/>
              </c:ext>
            </c:extLst>
          </c:dPt>
          <c:dPt>
            <c:idx val="5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1-CADF-4BCF-B3DE-06A137EE5FDF}"/>
              </c:ext>
            </c:extLst>
          </c:dPt>
          <c:dPt>
            <c:idx val="5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3-CADF-4BCF-B3DE-06A137EE5FDF}"/>
              </c:ext>
            </c:extLst>
          </c:dPt>
          <c:dPt>
            <c:idx val="5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5-CADF-4BCF-B3DE-06A137EE5FDF}"/>
              </c:ext>
            </c:extLst>
          </c:dPt>
          <c:dPt>
            <c:idx val="5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7-CADF-4BCF-B3DE-06A137EE5FDF}"/>
              </c:ext>
            </c:extLst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9-CADF-4BCF-B3DE-06A137EE5FDF}"/>
              </c:ext>
            </c:extLst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B-CADF-4BCF-B3DE-06A137EE5FDF}"/>
              </c:ext>
            </c:extLst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D-CADF-4BCF-B3DE-06A137EE5FDF}"/>
              </c:ext>
            </c:extLst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F-CADF-4BCF-B3DE-06A137EE5FDF}"/>
              </c:ext>
            </c:extLst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1-CADF-4BCF-B3DE-06A137EE5FDF}"/>
              </c:ext>
            </c:extLst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3-CADF-4BCF-B3DE-06A137EE5FDF}"/>
              </c:ext>
            </c:extLst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5-CADF-4BCF-B3DE-06A137EE5FDF}"/>
              </c:ext>
            </c:extLst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7-CADF-4BCF-B3DE-06A137EE5FDF}"/>
              </c:ext>
            </c:extLst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9-CADF-4BCF-B3DE-06A137EE5FDF}"/>
              </c:ext>
            </c:extLst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B-CADF-4BCF-B3DE-06A137EE5FDF}"/>
              </c:ext>
            </c:extLst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D-CADF-4BCF-B3DE-06A137EE5FDF}"/>
              </c:ext>
            </c:extLst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F-CADF-4BCF-B3DE-06A137EE5FDF}"/>
              </c:ext>
            </c:extLst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1-CADF-4BCF-B3DE-06A137EE5FDF}"/>
              </c:ext>
            </c:extLst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3-CADF-4BCF-B3DE-06A137EE5FDF}"/>
              </c:ext>
            </c:extLst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5-CADF-4BCF-B3DE-06A137EE5FDF}"/>
              </c:ext>
            </c:extLst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7-CADF-4BCF-B3DE-06A137EE5FDF}"/>
              </c:ext>
            </c:extLst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9-CADF-4BCF-B3DE-06A137EE5FDF}"/>
              </c:ext>
            </c:extLst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B-CADF-4BCF-B3DE-06A137EE5FDF}"/>
              </c:ext>
            </c:extLst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D-CADF-4BCF-B3DE-06A137EE5FDF}"/>
              </c:ext>
            </c:extLst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F-CADF-4BCF-B3DE-06A137EE5FDF}"/>
              </c:ext>
            </c:extLst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1-CADF-4BCF-B3DE-06A137EE5FDF}"/>
              </c:ext>
            </c:extLst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3-CADF-4BCF-B3DE-06A137EE5FDF}"/>
              </c:ext>
            </c:extLst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5-CADF-4BCF-B3DE-06A137EE5FDF}"/>
              </c:ext>
            </c:extLst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7-CADF-4BCF-B3DE-06A137EE5FDF}"/>
              </c:ext>
            </c:extLst>
          </c:dPt>
          <c:dPt>
            <c:idx val="8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9-CADF-4BCF-B3DE-06A137EE5FDF}"/>
              </c:ext>
            </c:extLst>
          </c:dPt>
          <c:dPt>
            <c:idx val="8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B-CADF-4BCF-B3DE-06A137EE5FDF}"/>
              </c:ext>
            </c:extLst>
          </c:dPt>
          <c:dPt>
            <c:idx val="8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D-CADF-4BCF-B3DE-06A137EE5FDF}"/>
              </c:ext>
            </c:extLst>
          </c:dPt>
          <c:dPt>
            <c:idx val="8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F-CADF-4BCF-B3DE-06A137EE5FDF}"/>
              </c:ext>
            </c:extLst>
          </c:dPt>
          <c:dPt>
            <c:idx val="8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1-CADF-4BCF-B3DE-06A137EE5FDF}"/>
              </c:ext>
            </c:extLst>
          </c:dPt>
          <c:dPt>
            <c:idx val="8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3-CADF-4BCF-B3DE-06A137EE5FDF}"/>
              </c:ext>
            </c:extLst>
          </c:dPt>
          <c:dPt>
            <c:idx val="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5-CADF-4BCF-B3DE-06A137EE5FDF}"/>
              </c:ext>
            </c:extLst>
          </c:dPt>
          <c:dPt>
            <c:idx val="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7-CADF-4BCF-B3DE-06A137EE5FDF}"/>
              </c:ext>
            </c:extLst>
          </c:dPt>
          <c:dPt>
            <c:idx val="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9-CADF-4BCF-B3DE-06A137EE5FDF}"/>
              </c:ext>
            </c:extLst>
          </c:dPt>
          <c:dPt>
            <c:idx val="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B-CADF-4BCF-B3DE-06A137EE5FDF}"/>
              </c:ext>
            </c:extLst>
          </c:dPt>
          <c:dPt>
            <c:idx val="9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D-CADF-4BCF-B3DE-06A137EE5FDF}"/>
              </c:ext>
            </c:extLst>
          </c:dPt>
          <c:dPt>
            <c:idx val="9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F-CADF-4BCF-B3DE-06A137EE5FDF}"/>
              </c:ext>
            </c:extLst>
          </c:dPt>
          <c:dPt>
            <c:idx val="9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1-CADF-4BCF-B3DE-06A137EE5FDF}"/>
              </c:ext>
            </c:extLst>
          </c:dPt>
          <c:dPt>
            <c:idx val="9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3-CADF-4BCF-B3DE-06A137EE5FDF}"/>
              </c:ext>
            </c:extLst>
          </c:dPt>
          <c:dPt>
            <c:idx val="9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5-CADF-4BCF-B3DE-06A137EE5FDF}"/>
              </c:ext>
            </c:extLst>
          </c:dPt>
          <c:val>
            <c:numRef>
              <c:f>Sheet2!$B$669:$B$767</c:f>
              <c:numCache>
                <c:formatCode>General</c:formatCode>
                <c:ptCount val="99"/>
                <c:pt idx="0">
                  <c:v>125</c:v>
                </c:pt>
                <c:pt idx="1">
                  <c:v>148</c:v>
                </c:pt>
                <c:pt idx="2">
                  <c:v>137</c:v>
                </c:pt>
                <c:pt idx="3">
                  <c:v>120</c:v>
                </c:pt>
                <c:pt idx="4">
                  <c:v>135</c:v>
                </c:pt>
                <c:pt idx="5">
                  <c:v>132</c:v>
                </c:pt>
                <c:pt idx="6">
                  <c:v>145</c:v>
                </c:pt>
                <c:pt idx="7">
                  <c:v>122</c:v>
                </c:pt>
                <c:pt idx="8">
                  <c:v>130</c:v>
                </c:pt>
                <c:pt idx="9">
                  <c:v>141</c:v>
                </c:pt>
                <c:pt idx="10">
                  <c:v>118</c:v>
                </c:pt>
                <c:pt idx="11">
                  <c:v>136</c:v>
                </c:pt>
                <c:pt idx="12">
                  <c:v>130</c:v>
                </c:pt>
                <c:pt idx="13">
                  <c:v>136</c:v>
                </c:pt>
                <c:pt idx="14">
                  <c:v>130</c:v>
                </c:pt>
                <c:pt idx="15">
                  <c:v>136</c:v>
                </c:pt>
                <c:pt idx="16">
                  <c:v>130</c:v>
                </c:pt>
                <c:pt idx="17">
                  <c:v>136</c:v>
                </c:pt>
                <c:pt idx="18">
                  <c:v>130</c:v>
                </c:pt>
                <c:pt idx="19">
                  <c:v>125</c:v>
                </c:pt>
                <c:pt idx="20">
                  <c:v>127</c:v>
                </c:pt>
                <c:pt idx="21">
                  <c:v>134</c:v>
                </c:pt>
                <c:pt idx="22">
                  <c:v>127</c:v>
                </c:pt>
                <c:pt idx="23">
                  <c:v>134</c:v>
                </c:pt>
                <c:pt idx="24">
                  <c:v>127</c:v>
                </c:pt>
                <c:pt idx="25">
                  <c:v>134</c:v>
                </c:pt>
                <c:pt idx="26">
                  <c:v>127</c:v>
                </c:pt>
                <c:pt idx="27">
                  <c:v>134</c:v>
                </c:pt>
                <c:pt idx="28">
                  <c:v>132</c:v>
                </c:pt>
                <c:pt idx="29">
                  <c:v>130</c:v>
                </c:pt>
                <c:pt idx="30">
                  <c:v>141</c:v>
                </c:pt>
                <c:pt idx="31">
                  <c:v>130</c:v>
                </c:pt>
                <c:pt idx="32">
                  <c:v>141</c:v>
                </c:pt>
                <c:pt idx="33">
                  <c:v>130</c:v>
                </c:pt>
                <c:pt idx="34">
                  <c:v>141</c:v>
                </c:pt>
                <c:pt idx="35">
                  <c:v>130</c:v>
                </c:pt>
                <c:pt idx="36">
                  <c:v>141</c:v>
                </c:pt>
                <c:pt idx="37">
                  <c:v>136</c:v>
                </c:pt>
                <c:pt idx="38">
                  <c:v>122</c:v>
                </c:pt>
                <c:pt idx="39">
                  <c:v>119</c:v>
                </c:pt>
                <c:pt idx="40">
                  <c:v>122</c:v>
                </c:pt>
                <c:pt idx="41">
                  <c:v>119</c:v>
                </c:pt>
                <c:pt idx="42">
                  <c:v>122</c:v>
                </c:pt>
                <c:pt idx="43">
                  <c:v>119</c:v>
                </c:pt>
                <c:pt idx="44">
                  <c:v>122</c:v>
                </c:pt>
                <c:pt idx="45">
                  <c:v>119</c:v>
                </c:pt>
                <c:pt idx="46">
                  <c:v>128</c:v>
                </c:pt>
                <c:pt idx="47">
                  <c:v>125</c:v>
                </c:pt>
                <c:pt idx="48">
                  <c:v>125</c:v>
                </c:pt>
                <c:pt idx="49">
                  <c:v>125</c:v>
                </c:pt>
                <c:pt idx="50">
                  <c:v>125</c:v>
                </c:pt>
                <c:pt idx="51">
                  <c:v>125</c:v>
                </c:pt>
                <c:pt idx="52">
                  <c:v>125</c:v>
                </c:pt>
                <c:pt idx="53">
                  <c:v>125</c:v>
                </c:pt>
                <c:pt idx="54">
                  <c:v>125</c:v>
                </c:pt>
                <c:pt idx="55">
                  <c:v>123</c:v>
                </c:pt>
                <c:pt idx="56">
                  <c:v>133</c:v>
                </c:pt>
                <c:pt idx="57">
                  <c:v>131</c:v>
                </c:pt>
                <c:pt idx="58">
                  <c:v>133</c:v>
                </c:pt>
                <c:pt idx="59">
                  <c:v>131</c:v>
                </c:pt>
                <c:pt idx="60">
                  <c:v>133</c:v>
                </c:pt>
                <c:pt idx="61">
                  <c:v>131</c:v>
                </c:pt>
                <c:pt idx="62">
                  <c:v>133</c:v>
                </c:pt>
                <c:pt idx="63">
                  <c:v>131</c:v>
                </c:pt>
                <c:pt idx="64">
                  <c:v>132</c:v>
                </c:pt>
                <c:pt idx="65">
                  <c:v>140</c:v>
                </c:pt>
                <c:pt idx="66">
                  <c:v>136</c:v>
                </c:pt>
                <c:pt idx="67">
                  <c:v>140</c:v>
                </c:pt>
                <c:pt idx="68">
                  <c:v>136</c:v>
                </c:pt>
                <c:pt idx="69">
                  <c:v>140</c:v>
                </c:pt>
                <c:pt idx="70">
                  <c:v>136</c:v>
                </c:pt>
                <c:pt idx="71">
                  <c:v>140</c:v>
                </c:pt>
                <c:pt idx="72">
                  <c:v>136</c:v>
                </c:pt>
                <c:pt idx="73">
                  <c:v>138</c:v>
                </c:pt>
                <c:pt idx="74">
                  <c:v>126</c:v>
                </c:pt>
                <c:pt idx="75">
                  <c:v>128</c:v>
                </c:pt>
                <c:pt idx="76">
                  <c:v>126</c:v>
                </c:pt>
                <c:pt idx="77">
                  <c:v>128</c:v>
                </c:pt>
                <c:pt idx="78">
                  <c:v>126</c:v>
                </c:pt>
                <c:pt idx="79">
                  <c:v>128</c:v>
                </c:pt>
                <c:pt idx="80">
                  <c:v>126</c:v>
                </c:pt>
                <c:pt idx="81">
                  <c:v>128</c:v>
                </c:pt>
                <c:pt idx="82">
                  <c:v>126</c:v>
                </c:pt>
                <c:pt idx="83">
                  <c:v>133</c:v>
                </c:pt>
                <c:pt idx="84">
                  <c:v>124</c:v>
                </c:pt>
                <c:pt idx="85">
                  <c:v>133</c:v>
                </c:pt>
                <c:pt idx="86">
                  <c:v>124</c:v>
                </c:pt>
                <c:pt idx="87">
                  <c:v>133</c:v>
                </c:pt>
                <c:pt idx="88">
                  <c:v>124</c:v>
                </c:pt>
                <c:pt idx="89">
                  <c:v>133</c:v>
                </c:pt>
                <c:pt idx="90">
                  <c:v>124</c:v>
                </c:pt>
                <c:pt idx="91">
                  <c:v>129</c:v>
                </c:pt>
                <c:pt idx="92">
                  <c:v>135</c:v>
                </c:pt>
                <c:pt idx="93">
                  <c:v>135</c:v>
                </c:pt>
                <c:pt idx="94">
                  <c:v>132</c:v>
                </c:pt>
                <c:pt idx="95">
                  <c:v>135</c:v>
                </c:pt>
                <c:pt idx="96">
                  <c:v>132</c:v>
                </c:pt>
                <c:pt idx="97">
                  <c:v>135</c:v>
                </c:pt>
                <c:pt idx="98">
                  <c:v>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82-42AA-A912-00C6286706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val>
            <c:numRef>
              <c:f>Sheet2!$B$461:$B$510</c:f>
              <c:numCache>
                <c:formatCode>General</c:formatCode>
                <c:ptCount val="50"/>
                <c:pt idx="0">
                  <c:v>56</c:v>
                </c:pt>
                <c:pt idx="1">
                  <c:v>40</c:v>
                </c:pt>
                <c:pt idx="2">
                  <c:v>28</c:v>
                </c:pt>
                <c:pt idx="3">
                  <c:v>73</c:v>
                </c:pt>
                <c:pt idx="4">
                  <c:v>52</c:v>
                </c:pt>
                <c:pt idx="5">
                  <c:v>61</c:v>
                </c:pt>
                <c:pt idx="6">
                  <c:v>35</c:v>
                </c:pt>
                <c:pt idx="7">
                  <c:v>40</c:v>
                </c:pt>
                <c:pt idx="8">
                  <c:v>47</c:v>
                </c:pt>
                <c:pt idx="9">
                  <c:v>65</c:v>
                </c:pt>
                <c:pt idx="10">
                  <c:v>52</c:v>
                </c:pt>
                <c:pt idx="11">
                  <c:v>44</c:v>
                </c:pt>
                <c:pt idx="12">
                  <c:v>38</c:v>
                </c:pt>
                <c:pt idx="13">
                  <c:v>60</c:v>
                </c:pt>
                <c:pt idx="14">
                  <c:v>56</c:v>
                </c:pt>
                <c:pt idx="15">
                  <c:v>40</c:v>
                </c:pt>
                <c:pt idx="16">
                  <c:v>36</c:v>
                </c:pt>
                <c:pt idx="17">
                  <c:v>49</c:v>
                </c:pt>
                <c:pt idx="18">
                  <c:v>68</c:v>
                </c:pt>
                <c:pt idx="19">
                  <c:v>57</c:v>
                </c:pt>
                <c:pt idx="20">
                  <c:v>52</c:v>
                </c:pt>
                <c:pt idx="21">
                  <c:v>63</c:v>
                </c:pt>
                <c:pt idx="22">
                  <c:v>41</c:v>
                </c:pt>
                <c:pt idx="23">
                  <c:v>38</c:v>
                </c:pt>
                <c:pt idx="24">
                  <c:v>55</c:v>
                </c:pt>
                <c:pt idx="25">
                  <c:v>42</c:v>
                </c:pt>
                <c:pt idx="26">
                  <c:v>39</c:v>
                </c:pt>
                <c:pt idx="27">
                  <c:v>58</c:v>
                </c:pt>
                <c:pt idx="28">
                  <c:v>62</c:v>
                </c:pt>
                <c:pt idx="29">
                  <c:v>49</c:v>
                </c:pt>
                <c:pt idx="30">
                  <c:v>59</c:v>
                </c:pt>
                <c:pt idx="31">
                  <c:v>47</c:v>
                </c:pt>
                <c:pt idx="32">
                  <c:v>45</c:v>
                </c:pt>
                <c:pt idx="33">
                  <c:v>51</c:v>
                </c:pt>
                <c:pt idx="34">
                  <c:v>65</c:v>
                </c:pt>
                <c:pt idx="35">
                  <c:v>41</c:v>
                </c:pt>
                <c:pt idx="36">
                  <c:v>48</c:v>
                </c:pt>
                <c:pt idx="37">
                  <c:v>55</c:v>
                </c:pt>
                <c:pt idx="38">
                  <c:v>42</c:v>
                </c:pt>
                <c:pt idx="39">
                  <c:v>39</c:v>
                </c:pt>
                <c:pt idx="40">
                  <c:v>58</c:v>
                </c:pt>
                <c:pt idx="41">
                  <c:v>62</c:v>
                </c:pt>
                <c:pt idx="42">
                  <c:v>49</c:v>
                </c:pt>
                <c:pt idx="43">
                  <c:v>59</c:v>
                </c:pt>
                <c:pt idx="44">
                  <c:v>45</c:v>
                </c:pt>
                <c:pt idx="45">
                  <c:v>47</c:v>
                </c:pt>
                <c:pt idx="46">
                  <c:v>51</c:v>
                </c:pt>
                <c:pt idx="47">
                  <c:v>65</c:v>
                </c:pt>
                <c:pt idx="48">
                  <c:v>43</c:v>
                </c:pt>
                <c:pt idx="49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DA-4011-8EC3-C9ED5B2319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histogram 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histogram </a:t>
          </a:r>
        </a:p>
      </cx:txPr>
    </cx:title>
    <cx:plotArea>
      <cx:plotAreaRegion>
        <cx:series layoutId="clusteredColumn" uniqueId="{3EC8FE22-1DA6-4046-A984-856E95AEF90A}">
          <cx:dataLabels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histogram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histogram</a:t>
          </a:r>
        </a:p>
      </cx:txPr>
    </cx:title>
    <cx:plotArea>
      <cx:plotAreaRegion>
        <cx:series layoutId="clusteredColumn" uniqueId="{CF4F7B1F-CD03-4CE0-9B5A-A423F50481C7}">
          <cx:dataId val="0"/>
          <cx:layoutPr>
            <cx:binning intervalClosed="r"/>
          </cx:layoutPr>
          <cx:axisId val="1"/>
        </cx:series>
        <cx:series layoutId="paretoLine" ownerIdx="0" uniqueId="{739F16CE-3EAB-46AE-B6F0-04B1FAB9F7B8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>
      <cx:tx>
        <cx:txData>
          <cx:v>histogram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histogram</a:t>
          </a:r>
        </a:p>
      </cx:txPr>
    </cx:title>
    <cx:plotArea>
      <cx:plotAreaRegion>
        <cx:series layoutId="clusteredColumn" uniqueId="{897EA0F2-DAEA-433A-A19D-D459A1030096}">
          <cx:dataId val="0"/>
          <cx:layoutPr>
            <cx:binning intervalClosed="r"/>
          </cx:layoutPr>
          <cx:axisId val="1"/>
        </cx:series>
        <cx:series layoutId="paretoLine" ownerIdx="0" uniqueId="{CE2149E0-6A13-4154-89BC-C51FA234C225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4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2.xml"/><Relationship Id="rId7" Type="http://schemas.openxmlformats.org/officeDocument/2006/relationships/chart" Target="../charts/chart4.xml"/><Relationship Id="rId2" Type="http://schemas.openxmlformats.org/officeDocument/2006/relationships/chart" Target="../charts/chart1.xml"/><Relationship Id="rId1" Type="http://schemas.microsoft.com/office/2014/relationships/chartEx" Target="../charts/chartEx1.xml"/><Relationship Id="rId6" Type="http://schemas.openxmlformats.org/officeDocument/2006/relationships/chart" Target="../charts/chart3.xml"/><Relationship Id="rId5" Type="http://schemas.microsoft.com/office/2014/relationships/chartEx" Target="../charts/chartEx3.xml"/><Relationship Id="rId4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670560</xdr:colOff>
      <xdr:row>515</xdr:row>
      <xdr:rowOff>140970</xdr:rowOff>
    </xdr:from>
    <xdr:to>
      <xdr:col>10</xdr:col>
      <xdr:colOff>220980</xdr:colOff>
      <xdr:row>530</xdr:row>
      <xdr:rowOff>140970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85D2FAE9-A2CC-C1BB-215B-385CB9CB1B0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89760" y="9432417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</xdr:col>
      <xdr:colOff>251460</xdr:colOff>
      <xdr:row>535</xdr:row>
      <xdr:rowOff>0</xdr:rowOff>
    </xdr:from>
    <xdr:to>
      <xdr:col>17</xdr:col>
      <xdr:colOff>289560</xdr:colOff>
      <xdr:row>562</xdr:row>
      <xdr:rowOff>91440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3FB82E9-C535-2DBD-1426-29EEF25F6D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7620</xdr:colOff>
      <xdr:row>617</xdr:row>
      <xdr:rowOff>0</xdr:rowOff>
    </xdr:from>
    <xdr:to>
      <xdr:col>13</xdr:col>
      <xdr:colOff>388620</xdr:colOff>
      <xdr:row>635</xdr:row>
      <xdr:rowOff>163830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CB5B91D5-36C4-AA9E-BE9D-F00C72F8092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81200" y="112836960"/>
              <a:ext cx="6477000" cy="34556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</xdr:col>
      <xdr:colOff>0</xdr:colOff>
      <xdr:row>640</xdr:row>
      <xdr:rowOff>0</xdr:rowOff>
    </xdr:from>
    <xdr:to>
      <xdr:col>13</xdr:col>
      <xdr:colOff>289560</xdr:colOff>
      <xdr:row>661</xdr:row>
      <xdr:rowOff>11430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A55AAB7-CE42-3BE5-4D3B-07F1F9B199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746760</xdr:colOff>
      <xdr:row>669</xdr:row>
      <xdr:rowOff>7620</xdr:rowOff>
    </xdr:from>
    <xdr:to>
      <xdr:col>14</xdr:col>
      <xdr:colOff>60960</xdr:colOff>
      <xdr:row>691</xdr:row>
      <xdr:rowOff>102870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069962D8-6514-7D9E-FAAF-7A18BBDEDEA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65960" y="122354340"/>
              <a:ext cx="6774180" cy="41186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</xdr:col>
      <xdr:colOff>30480</xdr:colOff>
      <xdr:row>698</xdr:row>
      <xdr:rowOff>137160</xdr:rowOff>
    </xdr:from>
    <xdr:to>
      <xdr:col>16</xdr:col>
      <xdr:colOff>541020</xdr:colOff>
      <xdr:row>725</xdr:row>
      <xdr:rowOff>137160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B5D88BC-1384-F284-159B-1273FE47A6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547076</xdr:colOff>
      <xdr:row>484</xdr:row>
      <xdr:rowOff>19538</xdr:rowOff>
    </xdr:from>
    <xdr:to>
      <xdr:col>15</xdr:col>
      <xdr:colOff>612204</xdr:colOff>
      <xdr:row>504</xdr:row>
      <xdr:rowOff>65780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2948FB-0F36-63E7-53D6-9216B07A0D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97665-BCF8-4CEC-8275-31855B4BC842}">
  <dimension ref="A1:S780"/>
  <sheetViews>
    <sheetView tabSelected="1" topLeftCell="A158" zoomScale="117" zoomScaleNormal="100" workbookViewId="0">
      <selection activeCell="D495" sqref="D495"/>
    </sheetView>
  </sheetViews>
  <sheetFormatPr defaultRowHeight="14.4" x14ac:dyDescent="0.3"/>
  <cols>
    <col min="3" max="3" width="11" bestFit="1" customWidth="1"/>
  </cols>
  <sheetData>
    <row r="1" spans="1:6" x14ac:dyDescent="0.3">
      <c r="A1" t="s">
        <v>4</v>
      </c>
    </row>
    <row r="3" spans="1:6" x14ac:dyDescent="0.3">
      <c r="A3">
        <v>1</v>
      </c>
      <c r="B3" t="s">
        <v>0</v>
      </c>
      <c r="C3">
        <v>50</v>
      </c>
      <c r="E3" t="s">
        <v>5</v>
      </c>
      <c r="F3">
        <f>AVERAGE(C3:C6)</f>
        <v>58.75</v>
      </c>
    </row>
    <row r="4" spans="1:6" x14ac:dyDescent="0.3">
      <c r="B4" t="s">
        <v>1</v>
      </c>
      <c r="C4">
        <v>60</v>
      </c>
      <c r="E4" t="s">
        <v>6</v>
      </c>
      <c r="F4">
        <f>MEDIAN(C3:C6)</f>
        <v>57.5</v>
      </c>
    </row>
    <row r="5" spans="1:6" x14ac:dyDescent="0.3">
      <c r="B5" t="s">
        <v>2</v>
      </c>
      <c r="C5">
        <v>55</v>
      </c>
      <c r="E5" t="s">
        <v>7</v>
      </c>
      <c r="F5" t="e">
        <f>_xlfn.MODE.SNGL(C3:C6)</f>
        <v>#N/A</v>
      </c>
    </row>
    <row r="6" spans="1:6" x14ac:dyDescent="0.3">
      <c r="B6" t="s">
        <v>3</v>
      </c>
      <c r="C6">
        <v>70</v>
      </c>
    </row>
    <row r="8" spans="1:6" x14ac:dyDescent="0.3">
      <c r="C8" t="s">
        <v>8</v>
      </c>
    </row>
    <row r="9" spans="1:6" x14ac:dyDescent="0.3">
      <c r="A9">
        <v>2</v>
      </c>
      <c r="B9">
        <v>1</v>
      </c>
      <c r="C9">
        <v>15</v>
      </c>
    </row>
    <row r="10" spans="1:6" x14ac:dyDescent="0.3">
      <c r="B10">
        <v>2</v>
      </c>
      <c r="C10">
        <v>10</v>
      </c>
      <c r="E10" t="s">
        <v>9</v>
      </c>
      <c r="F10">
        <f>AVERAGE(C9:C28)</f>
        <v>17</v>
      </c>
    </row>
    <row r="11" spans="1:6" x14ac:dyDescent="0.3">
      <c r="B11">
        <v>3</v>
      </c>
      <c r="C11">
        <v>20</v>
      </c>
      <c r="E11" t="s">
        <v>6</v>
      </c>
      <c r="F11">
        <f>MEDIAN(C9:C28)</f>
        <v>15</v>
      </c>
    </row>
    <row r="12" spans="1:6" x14ac:dyDescent="0.3">
      <c r="B12">
        <v>4</v>
      </c>
      <c r="C12">
        <v>25</v>
      </c>
      <c r="E12" t="s">
        <v>7</v>
      </c>
      <c r="F12">
        <f>_xlfn.MODE.SNGL(C9:C28)</f>
        <v>10</v>
      </c>
    </row>
    <row r="13" spans="1:6" x14ac:dyDescent="0.3">
      <c r="B13">
        <v>5</v>
      </c>
      <c r="C13">
        <v>15</v>
      </c>
    </row>
    <row r="14" spans="1:6" x14ac:dyDescent="0.3">
      <c r="B14">
        <v>6</v>
      </c>
      <c r="C14">
        <v>10</v>
      </c>
    </row>
    <row r="15" spans="1:6" x14ac:dyDescent="0.3">
      <c r="B15">
        <v>7</v>
      </c>
      <c r="C15">
        <v>30</v>
      </c>
    </row>
    <row r="16" spans="1:6" x14ac:dyDescent="0.3">
      <c r="B16">
        <v>8</v>
      </c>
      <c r="C16">
        <v>20</v>
      </c>
    </row>
    <row r="17" spans="1:5" x14ac:dyDescent="0.3">
      <c r="B17">
        <v>9</v>
      </c>
      <c r="C17">
        <v>15</v>
      </c>
    </row>
    <row r="18" spans="1:5" x14ac:dyDescent="0.3">
      <c r="B18">
        <v>10</v>
      </c>
      <c r="C18">
        <v>10</v>
      </c>
    </row>
    <row r="19" spans="1:5" x14ac:dyDescent="0.3">
      <c r="B19">
        <v>11</v>
      </c>
      <c r="C19">
        <v>10</v>
      </c>
    </row>
    <row r="20" spans="1:5" x14ac:dyDescent="0.3">
      <c r="B20">
        <v>12</v>
      </c>
      <c r="C20">
        <v>25</v>
      </c>
    </row>
    <row r="21" spans="1:5" x14ac:dyDescent="0.3">
      <c r="B21">
        <v>13</v>
      </c>
      <c r="C21">
        <v>15</v>
      </c>
    </row>
    <row r="22" spans="1:5" x14ac:dyDescent="0.3">
      <c r="B22">
        <v>14</v>
      </c>
      <c r="C22">
        <v>20</v>
      </c>
    </row>
    <row r="23" spans="1:5" x14ac:dyDescent="0.3">
      <c r="B23">
        <v>15</v>
      </c>
      <c r="C23">
        <v>20</v>
      </c>
    </row>
    <row r="24" spans="1:5" x14ac:dyDescent="0.3">
      <c r="B24">
        <v>16</v>
      </c>
      <c r="C24">
        <v>15</v>
      </c>
    </row>
    <row r="25" spans="1:5" x14ac:dyDescent="0.3">
      <c r="B25">
        <v>17</v>
      </c>
      <c r="C25">
        <v>10</v>
      </c>
    </row>
    <row r="26" spans="1:5" x14ac:dyDescent="0.3">
      <c r="B26">
        <v>18</v>
      </c>
      <c r="C26">
        <v>10</v>
      </c>
    </row>
    <row r="27" spans="1:5" x14ac:dyDescent="0.3">
      <c r="B27">
        <v>19</v>
      </c>
      <c r="C27">
        <v>20</v>
      </c>
    </row>
    <row r="28" spans="1:5" x14ac:dyDescent="0.3">
      <c r="B28">
        <v>20</v>
      </c>
      <c r="C28">
        <v>25</v>
      </c>
    </row>
    <row r="30" spans="1:5" x14ac:dyDescent="0.3">
      <c r="B30" t="s">
        <v>10</v>
      </c>
    </row>
    <row r="31" spans="1:5" x14ac:dyDescent="0.3">
      <c r="A31">
        <v>3</v>
      </c>
      <c r="B31">
        <v>3</v>
      </c>
      <c r="D31" t="s">
        <v>9</v>
      </c>
      <c r="E31">
        <f>AVERAGE(B31:B80)</f>
        <v>3.44</v>
      </c>
    </row>
    <row r="32" spans="1:5" x14ac:dyDescent="0.3">
      <c r="B32">
        <v>2</v>
      </c>
      <c r="D32" t="s">
        <v>6</v>
      </c>
      <c r="E32">
        <f>MEDIAN(B31:B80)</f>
        <v>3</v>
      </c>
    </row>
    <row r="33" spans="2:5" x14ac:dyDescent="0.3">
      <c r="B33">
        <v>5</v>
      </c>
      <c r="D33" t="s">
        <v>7</v>
      </c>
      <c r="E33">
        <f>_xlfn.MODE.SNGL(B31:B80)</f>
        <v>2</v>
      </c>
    </row>
    <row r="34" spans="2:5" x14ac:dyDescent="0.3">
      <c r="B34">
        <v>4</v>
      </c>
    </row>
    <row r="35" spans="2:5" x14ac:dyDescent="0.3">
      <c r="B35">
        <v>7</v>
      </c>
    </row>
    <row r="36" spans="2:5" x14ac:dyDescent="0.3">
      <c r="B36">
        <v>2</v>
      </c>
    </row>
    <row r="37" spans="2:5" x14ac:dyDescent="0.3">
      <c r="B37">
        <v>3</v>
      </c>
    </row>
    <row r="38" spans="2:5" x14ac:dyDescent="0.3">
      <c r="B38">
        <v>3</v>
      </c>
    </row>
    <row r="39" spans="2:5" x14ac:dyDescent="0.3">
      <c r="B39">
        <v>1</v>
      </c>
    </row>
    <row r="40" spans="2:5" x14ac:dyDescent="0.3">
      <c r="B40">
        <v>6</v>
      </c>
    </row>
    <row r="41" spans="2:5" x14ac:dyDescent="0.3">
      <c r="B41">
        <v>4</v>
      </c>
    </row>
    <row r="42" spans="2:5" x14ac:dyDescent="0.3">
      <c r="B42">
        <v>2</v>
      </c>
    </row>
    <row r="43" spans="2:5" x14ac:dyDescent="0.3">
      <c r="B43">
        <v>3</v>
      </c>
    </row>
    <row r="44" spans="2:5" x14ac:dyDescent="0.3">
      <c r="B44">
        <v>5</v>
      </c>
    </row>
    <row r="45" spans="2:5" x14ac:dyDescent="0.3">
      <c r="B45">
        <v>2</v>
      </c>
    </row>
    <row r="46" spans="2:5" x14ac:dyDescent="0.3">
      <c r="B46">
        <v>4</v>
      </c>
    </row>
    <row r="47" spans="2:5" x14ac:dyDescent="0.3">
      <c r="B47">
        <v>2</v>
      </c>
    </row>
    <row r="48" spans="2:5" x14ac:dyDescent="0.3">
      <c r="B48">
        <v>1</v>
      </c>
    </row>
    <row r="49" spans="2:2" x14ac:dyDescent="0.3">
      <c r="B49">
        <v>3</v>
      </c>
    </row>
    <row r="50" spans="2:2" x14ac:dyDescent="0.3">
      <c r="B50">
        <v>5</v>
      </c>
    </row>
    <row r="51" spans="2:2" x14ac:dyDescent="0.3">
      <c r="B51">
        <v>6</v>
      </c>
    </row>
    <row r="52" spans="2:2" x14ac:dyDescent="0.3">
      <c r="B52">
        <v>7</v>
      </c>
    </row>
    <row r="53" spans="2:2" x14ac:dyDescent="0.3">
      <c r="B53">
        <v>5</v>
      </c>
    </row>
    <row r="54" spans="2:2" x14ac:dyDescent="0.3">
      <c r="B54">
        <v>3</v>
      </c>
    </row>
    <row r="55" spans="2:2" x14ac:dyDescent="0.3">
      <c r="B55">
        <v>2</v>
      </c>
    </row>
    <row r="56" spans="2:2" x14ac:dyDescent="0.3">
      <c r="B56">
        <v>3</v>
      </c>
    </row>
    <row r="57" spans="2:2" x14ac:dyDescent="0.3">
      <c r="B57">
        <v>2</v>
      </c>
    </row>
    <row r="58" spans="2:2" x14ac:dyDescent="0.3">
      <c r="B58">
        <v>3</v>
      </c>
    </row>
    <row r="59" spans="2:2" x14ac:dyDescent="0.3">
      <c r="B59">
        <v>2</v>
      </c>
    </row>
    <row r="60" spans="2:2" x14ac:dyDescent="0.3">
      <c r="B60">
        <v>1</v>
      </c>
    </row>
    <row r="61" spans="2:2" x14ac:dyDescent="0.3">
      <c r="B61">
        <v>4</v>
      </c>
    </row>
    <row r="62" spans="2:2" x14ac:dyDescent="0.3">
      <c r="B62">
        <v>4</v>
      </c>
    </row>
    <row r="63" spans="2:2" x14ac:dyDescent="0.3">
      <c r="B63">
        <v>4</v>
      </c>
    </row>
    <row r="64" spans="2:2" x14ac:dyDescent="0.3">
      <c r="B64">
        <v>5</v>
      </c>
    </row>
    <row r="65" spans="2:2" x14ac:dyDescent="0.3">
      <c r="B65">
        <v>2</v>
      </c>
    </row>
    <row r="66" spans="2:2" x14ac:dyDescent="0.3">
      <c r="B66">
        <v>2</v>
      </c>
    </row>
    <row r="67" spans="2:2" x14ac:dyDescent="0.3">
      <c r="B67">
        <v>1</v>
      </c>
    </row>
    <row r="68" spans="2:2" x14ac:dyDescent="0.3">
      <c r="B68">
        <v>6</v>
      </c>
    </row>
    <row r="69" spans="2:2" x14ac:dyDescent="0.3">
      <c r="B69">
        <v>4</v>
      </c>
    </row>
    <row r="70" spans="2:2" x14ac:dyDescent="0.3">
      <c r="B70">
        <v>6</v>
      </c>
    </row>
    <row r="71" spans="2:2" x14ac:dyDescent="0.3">
      <c r="B71">
        <v>3</v>
      </c>
    </row>
    <row r="72" spans="2:2" x14ac:dyDescent="0.3">
      <c r="B72">
        <v>5</v>
      </c>
    </row>
    <row r="73" spans="2:2" x14ac:dyDescent="0.3">
      <c r="B73">
        <v>2</v>
      </c>
    </row>
    <row r="74" spans="2:2" x14ac:dyDescent="0.3">
      <c r="B74">
        <v>2</v>
      </c>
    </row>
    <row r="75" spans="2:2" x14ac:dyDescent="0.3">
      <c r="B75">
        <v>3</v>
      </c>
    </row>
    <row r="76" spans="2:2" x14ac:dyDescent="0.3">
      <c r="B76">
        <v>4</v>
      </c>
    </row>
    <row r="77" spans="2:2" x14ac:dyDescent="0.3">
      <c r="B77">
        <v>4</v>
      </c>
    </row>
    <row r="78" spans="2:2" x14ac:dyDescent="0.3">
      <c r="B78">
        <v>2</v>
      </c>
    </row>
    <row r="79" spans="2:2" x14ac:dyDescent="0.3">
      <c r="B79">
        <v>3</v>
      </c>
    </row>
    <row r="80" spans="2:2" x14ac:dyDescent="0.3">
      <c r="B80">
        <v>5</v>
      </c>
    </row>
    <row r="83" spans="1:9" x14ac:dyDescent="0.3">
      <c r="A83" s="1" t="s">
        <v>28</v>
      </c>
      <c r="B83" s="1"/>
    </row>
    <row r="85" spans="1:9" x14ac:dyDescent="0.3">
      <c r="A85">
        <v>1</v>
      </c>
      <c r="B85" t="s">
        <v>12</v>
      </c>
      <c r="C85" t="s">
        <v>11</v>
      </c>
    </row>
    <row r="86" spans="1:9" x14ac:dyDescent="0.3">
      <c r="B86" t="s">
        <v>13</v>
      </c>
      <c r="C86">
        <v>120</v>
      </c>
    </row>
    <row r="87" spans="1:9" x14ac:dyDescent="0.3">
      <c r="B87" t="s">
        <v>14</v>
      </c>
      <c r="C87">
        <v>110</v>
      </c>
      <c r="E87" t="s">
        <v>23</v>
      </c>
      <c r="F87">
        <f>I88-I87</f>
        <v>35</v>
      </c>
      <c r="H87" t="s">
        <v>26</v>
      </c>
      <c r="I87">
        <f>MIN(C86:C95)</f>
        <v>105</v>
      </c>
    </row>
    <row r="88" spans="1:9" x14ac:dyDescent="0.3">
      <c r="B88" t="s">
        <v>15</v>
      </c>
      <c r="C88">
        <v>130</v>
      </c>
      <c r="E88" t="s">
        <v>24</v>
      </c>
      <c r="F88">
        <f>_xlfn.VAR.S(C86:C95)</f>
        <v>123.33333333333333</v>
      </c>
      <c r="H88" t="s">
        <v>27</v>
      </c>
      <c r="I88">
        <f>MAX(C86:C95)</f>
        <v>140</v>
      </c>
    </row>
    <row r="89" spans="1:9" x14ac:dyDescent="0.3">
      <c r="B89" t="s">
        <v>16</v>
      </c>
      <c r="C89">
        <v>115</v>
      </c>
      <c r="E89" t="s">
        <v>25</v>
      </c>
      <c r="F89">
        <f>_xlfn.STDEV.S(C86:C95)</f>
        <v>11.105554165971787</v>
      </c>
    </row>
    <row r="90" spans="1:9" x14ac:dyDescent="0.3">
      <c r="B90" t="s">
        <v>17</v>
      </c>
      <c r="C90">
        <v>125</v>
      </c>
    </row>
    <row r="91" spans="1:9" x14ac:dyDescent="0.3">
      <c r="B91" t="s">
        <v>18</v>
      </c>
      <c r="C91">
        <v>105</v>
      </c>
    </row>
    <row r="92" spans="1:9" x14ac:dyDescent="0.3">
      <c r="B92" t="s">
        <v>19</v>
      </c>
      <c r="C92">
        <v>135</v>
      </c>
    </row>
    <row r="93" spans="1:9" x14ac:dyDescent="0.3">
      <c r="B93" t="s">
        <v>20</v>
      </c>
      <c r="C93">
        <v>115</v>
      </c>
    </row>
    <row r="94" spans="1:9" x14ac:dyDescent="0.3">
      <c r="B94" t="s">
        <v>21</v>
      </c>
      <c r="C94">
        <v>125</v>
      </c>
    </row>
    <row r="95" spans="1:9" x14ac:dyDescent="0.3">
      <c r="B95" t="s">
        <v>22</v>
      </c>
      <c r="C95">
        <v>140</v>
      </c>
    </row>
    <row r="97" spans="1:5" x14ac:dyDescent="0.3">
      <c r="B97" t="s">
        <v>29</v>
      </c>
    </row>
    <row r="98" spans="1:5" x14ac:dyDescent="0.3">
      <c r="A98">
        <v>2</v>
      </c>
      <c r="B98">
        <v>500</v>
      </c>
    </row>
    <row r="99" spans="1:5" x14ac:dyDescent="0.3">
      <c r="B99">
        <v>700</v>
      </c>
      <c r="D99" t="s">
        <v>26</v>
      </c>
      <c r="E99">
        <f>MIN(B98:B127)</f>
        <v>400</v>
      </c>
    </row>
    <row r="100" spans="1:5" x14ac:dyDescent="0.3">
      <c r="B100">
        <v>400</v>
      </c>
      <c r="D100" t="s">
        <v>27</v>
      </c>
      <c r="E100">
        <f>MAX(B98:B127)</f>
        <v>800</v>
      </c>
    </row>
    <row r="101" spans="1:5" x14ac:dyDescent="0.3">
      <c r="B101">
        <v>600</v>
      </c>
    </row>
    <row r="102" spans="1:5" x14ac:dyDescent="0.3">
      <c r="B102">
        <v>550</v>
      </c>
      <c r="D102" t="s">
        <v>23</v>
      </c>
      <c r="E102">
        <f>E100-E99</f>
        <v>400</v>
      </c>
    </row>
    <row r="103" spans="1:5" x14ac:dyDescent="0.3">
      <c r="B103">
        <v>750</v>
      </c>
      <c r="D103" t="s">
        <v>24</v>
      </c>
      <c r="E103">
        <f>_xlfn.VAR.S(B98:B127)</f>
        <v>13163.793103448275</v>
      </c>
    </row>
    <row r="104" spans="1:5" x14ac:dyDescent="0.3">
      <c r="B104">
        <v>650</v>
      </c>
      <c r="D104" t="s">
        <v>30</v>
      </c>
      <c r="E104">
        <f>_xlfn.STDEV.S(B98:B127)</f>
        <v>114.73357443855863</v>
      </c>
    </row>
    <row r="105" spans="1:5" x14ac:dyDescent="0.3">
      <c r="B105">
        <v>500</v>
      </c>
    </row>
    <row r="106" spans="1:5" x14ac:dyDescent="0.3">
      <c r="B106">
        <v>600</v>
      </c>
    </row>
    <row r="107" spans="1:5" x14ac:dyDescent="0.3">
      <c r="B107">
        <v>550</v>
      </c>
    </row>
    <row r="108" spans="1:5" x14ac:dyDescent="0.3">
      <c r="B108">
        <v>800</v>
      </c>
    </row>
    <row r="109" spans="1:5" x14ac:dyDescent="0.3">
      <c r="B109">
        <v>700</v>
      </c>
    </row>
    <row r="110" spans="1:5" x14ac:dyDescent="0.3">
      <c r="B110">
        <v>450</v>
      </c>
    </row>
    <row r="111" spans="1:5" x14ac:dyDescent="0.3">
      <c r="B111">
        <v>600</v>
      </c>
    </row>
    <row r="112" spans="1:5" x14ac:dyDescent="0.3">
      <c r="B112">
        <v>700</v>
      </c>
    </row>
    <row r="113" spans="2:2" x14ac:dyDescent="0.3">
      <c r="B113">
        <v>500</v>
      </c>
    </row>
    <row r="114" spans="2:2" x14ac:dyDescent="0.3">
      <c r="B114">
        <v>550</v>
      </c>
    </row>
    <row r="115" spans="2:2" x14ac:dyDescent="0.3">
      <c r="B115">
        <v>800</v>
      </c>
    </row>
    <row r="116" spans="2:2" x14ac:dyDescent="0.3">
      <c r="B116">
        <v>600</v>
      </c>
    </row>
    <row r="117" spans="2:2" x14ac:dyDescent="0.3">
      <c r="B117">
        <v>550</v>
      </c>
    </row>
    <row r="118" spans="2:2" x14ac:dyDescent="0.3">
      <c r="B118">
        <v>400</v>
      </c>
    </row>
    <row r="119" spans="2:2" x14ac:dyDescent="0.3">
      <c r="B119">
        <v>650</v>
      </c>
    </row>
    <row r="120" spans="2:2" x14ac:dyDescent="0.3">
      <c r="B120">
        <v>650</v>
      </c>
    </row>
    <row r="121" spans="2:2" x14ac:dyDescent="0.3">
      <c r="B121">
        <v>400</v>
      </c>
    </row>
    <row r="122" spans="2:2" x14ac:dyDescent="0.3">
      <c r="B122">
        <v>500</v>
      </c>
    </row>
    <row r="123" spans="2:2" x14ac:dyDescent="0.3">
      <c r="B123">
        <v>600</v>
      </c>
    </row>
    <row r="124" spans="2:2" x14ac:dyDescent="0.3">
      <c r="B124">
        <v>750</v>
      </c>
    </row>
    <row r="125" spans="2:2" x14ac:dyDescent="0.3">
      <c r="B125">
        <v>750</v>
      </c>
    </row>
    <row r="126" spans="2:2" x14ac:dyDescent="0.3">
      <c r="B126">
        <v>550</v>
      </c>
    </row>
    <row r="127" spans="2:2" x14ac:dyDescent="0.3">
      <c r="B127">
        <v>550</v>
      </c>
    </row>
    <row r="130" spans="1:5" x14ac:dyDescent="0.3">
      <c r="A130">
        <v>3</v>
      </c>
      <c r="B130">
        <v>3</v>
      </c>
    </row>
    <row r="131" spans="1:5" x14ac:dyDescent="0.3">
      <c r="B131">
        <v>5</v>
      </c>
      <c r="D131" t="s">
        <v>26</v>
      </c>
      <c r="E131">
        <f>MIN(B130:B179)</f>
        <v>1</v>
      </c>
    </row>
    <row r="132" spans="1:5" x14ac:dyDescent="0.3">
      <c r="B132">
        <v>2</v>
      </c>
      <c r="D132" t="s">
        <v>27</v>
      </c>
      <c r="E132">
        <f>MAX(B130:B179)</f>
        <v>7</v>
      </c>
    </row>
    <row r="133" spans="1:5" x14ac:dyDescent="0.3">
      <c r="B133">
        <v>4</v>
      </c>
    </row>
    <row r="134" spans="1:5" x14ac:dyDescent="0.3">
      <c r="B134">
        <v>6</v>
      </c>
      <c r="D134" t="s">
        <v>23</v>
      </c>
      <c r="E134">
        <f>E132-E131</f>
        <v>6</v>
      </c>
    </row>
    <row r="135" spans="1:5" x14ac:dyDescent="0.3">
      <c r="B135">
        <v>2</v>
      </c>
      <c r="D135" t="s">
        <v>24</v>
      </c>
      <c r="E135">
        <f>_xlfn.VAR.S(B130:B179)</f>
        <v>2.3363265306122454</v>
      </c>
    </row>
    <row r="136" spans="1:5" x14ac:dyDescent="0.3">
      <c r="B136">
        <v>3</v>
      </c>
      <c r="D136" t="s">
        <v>30</v>
      </c>
      <c r="E136">
        <f>_xlfn.STDEV.S(B130:B179)</f>
        <v>1.5285046714394579</v>
      </c>
    </row>
    <row r="137" spans="1:5" x14ac:dyDescent="0.3">
      <c r="B137">
        <v>4</v>
      </c>
    </row>
    <row r="138" spans="1:5" x14ac:dyDescent="0.3">
      <c r="B138">
        <v>2</v>
      </c>
    </row>
    <row r="139" spans="1:5" x14ac:dyDescent="0.3">
      <c r="B139">
        <v>5</v>
      </c>
    </row>
    <row r="140" spans="1:5" x14ac:dyDescent="0.3">
      <c r="B140">
        <v>7</v>
      </c>
    </row>
    <row r="141" spans="1:5" x14ac:dyDescent="0.3">
      <c r="B141">
        <v>2</v>
      </c>
    </row>
    <row r="142" spans="1:5" x14ac:dyDescent="0.3">
      <c r="B142">
        <v>3</v>
      </c>
    </row>
    <row r="143" spans="1:5" x14ac:dyDescent="0.3">
      <c r="B143">
        <v>4</v>
      </c>
    </row>
    <row r="144" spans="1:5" x14ac:dyDescent="0.3">
      <c r="B144">
        <v>2</v>
      </c>
    </row>
    <row r="145" spans="2:2" x14ac:dyDescent="0.3">
      <c r="B145">
        <v>4</v>
      </c>
    </row>
    <row r="146" spans="2:2" x14ac:dyDescent="0.3">
      <c r="B146">
        <v>2</v>
      </c>
    </row>
    <row r="147" spans="2:2" x14ac:dyDescent="0.3">
      <c r="B147">
        <v>3</v>
      </c>
    </row>
    <row r="148" spans="2:2" x14ac:dyDescent="0.3">
      <c r="B148">
        <v>5</v>
      </c>
    </row>
    <row r="149" spans="2:2" x14ac:dyDescent="0.3">
      <c r="B149">
        <v>6</v>
      </c>
    </row>
    <row r="150" spans="2:2" x14ac:dyDescent="0.3">
      <c r="B150">
        <v>7</v>
      </c>
    </row>
    <row r="151" spans="2:2" x14ac:dyDescent="0.3">
      <c r="B151">
        <v>2</v>
      </c>
    </row>
    <row r="152" spans="2:2" x14ac:dyDescent="0.3">
      <c r="B152">
        <v>3</v>
      </c>
    </row>
    <row r="153" spans="2:2" x14ac:dyDescent="0.3">
      <c r="B153">
        <v>5</v>
      </c>
    </row>
    <row r="154" spans="2:2" x14ac:dyDescent="0.3">
      <c r="B154">
        <v>4</v>
      </c>
    </row>
    <row r="155" spans="2:2" x14ac:dyDescent="0.3">
      <c r="B155">
        <v>2</v>
      </c>
    </row>
    <row r="156" spans="2:2" x14ac:dyDescent="0.3">
      <c r="B156">
        <v>4</v>
      </c>
    </row>
    <row r="157" spans="2:2" x14ac:dyDescent="0.3">
      <c r="B157">
        <v>1</v>
      </c>
    </row>
    <row r="158" spans="2:2" x14ac:dyDescent="0.3">
      <c r="B158">
        <v>2</v>
      </c>
    </row>
    <row r="159" spans="2:2" x14ac:dyDescent="0.3">
      <c r="B159">
        <v>3</v>
      </c>
    </row>
    <row r="160" spans="2:2" x14ac:dyDescent="0.3">
      <c r="B160">
        <v>2</v>
      </c>
    </row>
    <row r="161" spans="2:2" x14ac:dyDescent="0.3">
      <c r="B161">
        <v>3</v>
      </c>
    </row>
    <row r="162" spans="2:2" x14ac:dyDescent="0.3">
      <c r="B162">
        <v>4</v>
      </c>
    </row>
    <row r="163" spans="2:2" x14ac:dyDescent="0.3">
      <c r="B163">
        <v>5</v>
      </c>
    </row>
    <row r="164" spans="2:2" x14ac:dyDescent="0.3">
      <c r="B164">
        <v>1</v>
      </c>
    </row>
    <row r="165" spans="2:2" x14ac:dyDescent="0.3">
      <c r="B165">
        <v>6</v>
      </c>
    </row>
    <row r="166" spans="2:2" x14ac:dyDescent="0.3">
      <c r="B166">
        <v>2</v>
      </c>
    </row>
    <row r="167" spans="2:2" x14ac:dyDescent="0.3">
      <c r="B167">
        <v>4</v>
      </c>
    </row>
    <row r="168" spans="2:2" x14ac:dyDescent="0.3">
      <c r="B168">
        <v>3</v>
      </c>
    </row>
    <row r="169" spans="2:2" x14ac:dyDescent="0.3">
      <c r="B169">
        <v>5</v>
      </c>
    </row>
    <row r="170" spans="2:2" x14ac:dyDescent="0.3">
      <c r="B170">
        <v>3</v>
      </c>
    </row>
    <row r="171" spans="2:2" x14ac:dyDescent="0.3">
      <c r="B171">
        <v>5</v>
      </c>
    </row>
    <row r="172" spans="2:2" x14ac:dyDescent="0.3">
      <c r="B172">
        <v>4</v>
      </c>
    </row>
    <row r="173" spans="2:2" x14ac:dyDescent="0.3">
      <c r="B173">
        <v>2</v>
      </c>
    </row>
    <row r="174" spans="2:2" x14ac:dyDescent="0.3">
      <c r="B174">
        <v>3</v>
      </c>
    </row>
    <row r="175" spans="2:2" x14ac:dyDescent="0.3">
      <c r="B175">
        <v>6</v>
      </c>
    </row>
    <row r="176" spans="2:2" x14ac:dyDescent="0.3">
      <c r="B176">
        <v>2</v>
      </c>
    </row>
    <row r="177" spans="1:6" x14ac:dyDescent="0.3">
      <c r="B177">
        <v>4</v>
      </c>
    </row>
    <row r="178" spans="1:6" x14ac:dyDescent="0.3">
      <c r="B178">
        <v>2</v>
      </c>
    </row>
    <row r="179" spans="1:6" x14ac:dyDescent="0.3">
      <c r="B179">
        <v>3</v>
      </c>
    </row>
    <row r="181" spans="1:6" x14ac:dyDescent="0.3">
      <c r="B181" t="s">
        <v>31</v>
      </c>
    </row>
    <row r="182" spans="1:6" x14ac:dyDescent="0.3">
      <c r="A182">
        <v>4</v>
      </c>
      <c r="B182">
        <v>120</v>
      </c>
    </row>
    <row r="183" spans="1:6" x14ac:dyDescent="0.3">
      <c r="B183">
        <v>150</v>
      </c>
      <c r="D183" t="s">
        <v>9</v>
      </c>
      <c r="F183">
        <f>AVERAGE(B182:B193)</f>
        <v>132.5</v>
      </c>
    </row>
    <row r="184" spans="1:6" x14ac:dyDescent="0.3">
      <c r="B184">
        <v>110</v>
      </c>
      <c r="D184" t="s">
        <v>6</v>
      </c>
      <c r="F184">
        <f>MEDIAN(B182:B193)</f>
        <v>132.5</v>
      </c>
    </row>
    <row r="185" spans="1:6" x14ac:dyDescent="0.3">
      <c r="B185">
        <v>135</v>
      </c>
      <c r="D185" t="s">
        <v>7</v>
      </c>
      <c r="F185">
        <f>_xlfn.MODE.SNGL(B182:B193)</f>
        <v>135</v>
      </c>
    </row>
    <row r="186" spans="1:6" x14ac:dyDescent="0.3">
      <c r="B186">
        <v>125</v>
      </c>
      <c r="D186" t="s">
        <v>27</v>
      </c>
      <c r="F186">
        <f>MAX(B182:B193)</f>
        <v>155</v>
      </c>
    </row>
    <row r="187" spans="1:6" x14ac:dyDescent="0.3">
      <c r="B187">
        <v>140</v>
      </c>
      <c r="D187" t="s">
        <v>26</v>
      </c>
      <c r="F187">
        <f>MIN(B182:B193)</f>
        <v>110</v>
      </c>
    </row>
    <row r="188" spans="1:6" x14ac:dyDescent="0.3">
      <c r="B188">
        <v>130</v>
      </c>
      <c r="D188" t="s">
        <v>23</v>
      </c>
      <c r="F188">
        <f>F186-F187</f>
        <v>45</v>
      </c>
    </row>
    <row r="189" spans="1:6" x14ac:dyDescent="0.3">
      <c r="B189">
        <v>155</v>
      </c>
      <c r="D189" t="s">
        <v>24</v>
      </c>
      <c r="F189">
        <f>_xlfn.VAR.S(B182:B193)</f>
        <v>188.63636363636363</v>
      </c>
    </row>
    <row r="190" spans="1:6" x14ac:dyDescent="0.3">
      <c r="B190">
        <v>115</v>
      </c>
      <c r="D190" t="s">
        <v>30</v>
      </c>
      <c r="F190">
        <f>_xlfn.STDEV.S(B182:B193)</f>
        <v>13.734495390671025</v>
      </c>
    </row>
    <row r="191" spans="1:6" x14ac:dyDescent="0.3">
      <c r="B191">
        <v>145</v>
      </c>
      <c r="D191" t="s">
        <v>32</v>
      </c>
    </row>
    <row r="192" spans="1:6" x14ac:dyDescent="0.3">
      <c r="B192">
        <v>135</v>
      </c>
      <c r="D192" t="s">
        <v>33</v>
      </c>
    </row>
    <row r="193" spans="1:6" x14ac:dyDescent="0.3">
      <c r="B193">
        <v>130</v>
      </c>
      <c r="D193" t="s">
        <v>34</v>
      </c>
      <c r="F193">
        <f>QUARTILE(B182:B193,1)</f>
        <v>123.75</v>
      </c>
    </row>
    <row r="194" spans="1:6" x14ac:dyDescent="0.3">
      <c r="D194" t="s">
        <v>35</v>
      </c>
      <c r="F194">
        <f>QUARTILE(B182:B193,3)</f>
        <v>141.25</v>
      </c>
    </row>
    <row r="196" spans="1:6" x14ac:dyDescent="0.3">
      <c r="A196">
        <v>5</v>
      </c>
      <c r="B196">
        <v>8</v>
      </c>
    </row>
    <row r="197" spans="1:6" x14ac:dyDescent="0.3">
      <c r="B197">
        <v>8</v>
      </c>
      <c r="D197" t="s">
        <v>9</v>
      </c>
      <c r="F197">
        <f>AVERAGE(B196:B245)</f>
        <v>7.5</v>
      </c>
    </row>
    <row r="198" spans="1:6" x14ac:dyDescent="0.3">
      <c r="B198">
        <v>8</v>
      </c>
      <c r="D198" t="s">
        <v>6</v>
      </c>
      <c r="F198">
        <f>MEDIAN(B196:B245)</f>
        <v>7.5</v>
      </c>
    </row>
    <row r="199" spans="1:6" x14ac:dyDescent="0.3">
      <c r="B199">
        <v>9</v>
      </c>
      <c r="D199" t="s">
        <v>7</v>
      </c>
      <c r="F199">
        <f>MODE(B196:B245)</f>
        <v>8</v>
      </c>
    </row>
    <row r="200" spans="1:6" x14ac:dyDescent="0.3">
      <c r="B200">
        <v>9</v>
      </c>
      <c r="D200" t="s">
        <v>27</v>
      </c>
      <c r="F200">
        <f>MAX(B196:B245)</f>
        <v>9</v>
      </c>
    </row>
    <row r="201" spans="1:6" x14ac:dyDescent="0.3">
      <c r="B201">
        <v>7</v>
      </c>
      <c r="D201" t="s">
        <v>26</v>
      </c>
      <c r="F201">
        <f>MIN(B196:B245)</f>
        <v>6</v>
      </c>
    </row>
    <row r="202" spans="1:6" x14ac:dyDescent="0.3">
      <c r="B202">
        <v>9</v>
      </c>
      <c r="D202" t="s">
        <v>23</v>
      </c>
      <c r="F202">
        <f>F200-F201</f>
        <v>3</v>
      </c>
    </row>
    <row r="203" spans="1:6" x14ac:dyDescent="0.3">
      <c r="B203">
        <v>9</v>
      </c>
      <c r="D203" t="s">
        <v>24</v>
      </c>
      <c r="F203">
        <f>_xlfn.VAR.S(B196:B245)</f>
        <v>1.0714285714285714</v>
      </c>
    </row>
    <row r="204" spans="1:6" x14ac:dyDescent="0.3">
      <c r="B204">
        <v>8</v>
      </c>
      <c r="D204" t="s">
        <v>30</v>
      </c>
      <c r="F204">
        <f>STDEV(B196:B245)</f>
        <v>1.0350983390135313</v>
      </c>
    </row>
    <row r="205" spans="1:6" x14ac:dyDescent="0.3">
      <c r="B205">
        <v>8</v>
      </c>
      <c r="D205" t="s">
        <v>36</v>
      </c>
    </row>
    <row r="206" spans="1:6" x14ac:dyDescent="0.3">
      <c r="B206">
        <v>9</v>
      </c>
      <c r="D206" t="s">
        <v>34</v>
      </c>
      <c r="F206">
        <f>QUARTILE(B196:B245,1)</f>
        <v>7</v>
      </c>
    </row>
    <row r="207" spans="1:6" x14ac:dyDescent="0.3">
      <c r="B207">
        <v>7</v>
      </c>
      <c r="D207" t="s">
        <v>35</v>
      </c>
      <c r="F207">
        <f>QUARTILE(B196:B245,3)</f>
        <v>8</v>
      </c>
    </row>
    <row r="208" spans="1:6" x14ac:dyDescent="0.3">
      <c r="B208">
        <v>7</v>
      </c>
    </row>
    <row r="209" spans="2:2" x14ac:dyDescent="0.3">
      <c r="B209">
        <v>7</v>
      </c>
    </row>
    <row r="210" spans="2:2" x14ac:dyDescent="0.3">
      <c r="B210">
        <v>7</v>
      </c>
    </row>
    <row r="211" spans="2:2" x14ac:dyDescent="0.3">
      <c r="B211">
        <v>6</v>
      </c>
    </row>
    <row r="212" spans="2:2" x14ac:dyDescent="0.3">
      <c r="B212">
        <v>8</v>
      </c>
    </row>
    <row r="213" spans="2:2" x14ac:dyDescent="0.3">
      <c r="B213">
        <v>6</v>
      </c>
    </row>
    <row r="214" spans="2:2" x14ac:dyDescent="0.3">
      <c r="B214">
        <v>6</v>
      </c>
    </row>
    <row r="215" spans="2:2" x14ac:dyDescent="0.3">
      <c r="B215">
        <v>6</v>
      </c>
    </row>
    <row r="216" spans="2:2" x14ac:dyDescent="0.3">
      <c r="B216">
        <v>7</v>
      </c>
    </row>
    <row r="217" spans="2:2" x14ac:dyDescent="0.3">
      <c r="B217">
        <v>7</v>
      </c>
    </row>
    <row r="218" spans="2:2" x14ac:dyDescent="0.3">
      <c r="B218">
        <v>7</v>
      </c>
    </row>
    <row r="219" spans="2:2" x14ac:dyDescent="0.3">
      <c r="B219">
        <v>8</v>
      </c>
    </row>
    <row r="220" spans="2:2" x14ac:dyDescent="0.3">
      <c r="B220">
        <v>7</v>
      </c>
    </row>
    <row r="221" spans="2:2" x14ac:dyDescent="0.3">
      <c r="B221">
        <v>8</v>
      </c>
    </row>
    <row r="222" spans="2:2" x14ac:dyDescent="0.3">
      <c r="B222">
        <v>6</v>
      </c>
    </row>
    <row r="223" spans="2:2" x14ac:dyDescent="0.3">
      <c r="B223">
        <v>8</v>
      </c>
    </row>
    <row r="224" spans="2:2" x14ac:dyDescent="0.3">
      <c r="B224">
        <v>9</v>
      </c>
    </row>
    <row r="225" spans="2:2" x14ac:dyDescent="0.3">
      <c r="B225">
        <v>8</v>
      </c>
    </row>
    <row r="226" spans="2:2" x14ac:dyDescent="0.3">
      <c r="B226">
        <v>9</v>
      </c>
    </row>
    <row r="227" spans="2:2" x14ac:dyDescent="0.3">
      <c r="B227">
        <v>8</v>
      </c>
    </row>
    <row r="228" spans="2:2" x14ac:dyDescent="0.3">
      <c r="B228">
        <v>9</v>
      </c>
    </row>
    <row r="229" spans="2:2" x14ac:dyDescent="0.3">
      <c r="B229">
        <v>7</v>
      </c>
    </row>
    <row r="230" spans="2:2" x14ac:dyDescent="0.3">
      <c r="B230">
        <v>9</v>
      </c>
    </row>
    <row r="231" spans="2:2" x14ac:dyDescent="0.3">
      <c r="B231">
        <v>8</v>
      </c>
    </row>
    <row r="232" spans="2:2" x14ac:dyDescent="0.3">
      <c r="B232">
        <v>9</v>
      </c>
    </row>
    <row r="233" spans="2:2" x14ac:dyDescent="0.3">
      <c r="B233">
        <v>8</v>
      </c>
    </row>
    <row r="234" spans="2:2" x14ac:dyDescent="0.3">
      <c r="B234">
        <v>8</v>
      </c>
    </row>
    <row r="235" spans="2:2" x14ac:dyDescent="0.3">
      <c r="B235">
        <v>8</v>
      </c>
    </row>
    <row r="236" spans="2:2" x14ac:dyDescent="0.3">
      <c r="B236">
        <v>7</v>
      </c>
    </row>
    <row r="237" spans="2:2" x14ac:dyDescent="0.3">
      <c r="B237">
        <v>6</v>
      </c>
    </row>
    <row r="238" spans="2:2" x14ac:dyDescent="0.3">
      <c r="B238">
        <v>7</v>
      </c>
    </row>
    <row r="239" spans="2:2" x14ac:dyDescent="0.3">
      <c r="B239">
        <v>7</v>
      </c>
    </row>
    <row r="240" spans="2:2" x14ac:dyDescent="0.3">
      <c r="B240">
        <v>7</v>
      </c>
    </row>
    <row r="241" spans="1:6" x14ac:dyDescent="0.3">
      <c r="B241">
        <v>6</v>
      </c>
    </row>
    <row r="242" spans="1:6" x14ac:dyDescent="0.3">
      <c r="B242">
        <v>7</v>
      </c>
    </row>
    <row r="243" spans="1:6" x14ac:dyDescent="0.3">
      <c r="B243">
        <v>6</v>
      </c>
    </row>
    <row r="244" spans="1:6" x14ac:dyDescent="0.3">
      <c r="B244">
        <v>6</v>
      </c>
    </row>
    <row r="245" spans="1:6" x14ac:dyDescent="0.3">
      <c r="B245">
        <v>6</v>
      </c>
    </row>
    <row r="248" spans="1:6" x14ac:dyDescent="0.3">
      <c r="A248">
        <v>6</v>
      </c>
      <c r="B248">
        <v>10</v>
      </c>
    </row>
    <row r="249" spans="1:6" x14ac:dyDescent="0.3">
      <c r="B249">
        <v>15</v>
      </c>
      <c r="D249" t="s">
        <v>45</v>
      </c>
      <c r="F249">
        <f>AVERAGE(B248:B346)</f>
        <v>16.8989898989899</v>
      </c>
    </row>
    <row r="250" spans="1:6" x14ac:dyDescent="0.3">
      <c r="B250">
        <v>12</v>
      </c>
      <c r="D250" t="s">
        <v>6</v>
      </c>
      <c r="F250">
        <f>MEDIAN(B248:B346)</f>
        <v>17</v>
      </c>
    </row>
    <row r="251" spans="1:6" x14ac:dyDescent="0.3">
      <c r="B251">
        <v>18</v>
      </c>
      <c r="D251" t="s">
        <v>7</v>
      </c>
      <c r="F251">
        <f>MODE(B248:B346)</f>
        <v>16</v>
      </c>
    </row>
    <row r="252" spans="1:6" x14ac:dyDescent="0.3">
      <c r="B252">
        <v>20</v>
      </c>
      <c r="D252" t="s">
        <v>26</v>
      </c>
      <c r="F252">
        <f>MIN(B248:B346)</f>
        <v>8</v>
      </c>
    </row>
    <row r="253" spans="1:6" x14ac:dyDescent="0.3">
      <c r="B253">
        <v>25</v>
      </c>
      <c r="D253" t="s">
        <v>27</v>
      </c>
      <c r="F253">
        <f>MAX(B248:B346)</f>
        <v>27</v>
      </c>
    </row>
    <row r="254" spans="1:6" x14ac:dyDescent="0.3">
      <c r="B254">
        <v>8</v>
      </c>
      <c r="D254" t="s">
        <v>23</v>
      </c>
      <c r="F254">
        <f>F253-F252</f>
        <v>19</v>
      </c>
    </row>
    <row r="255" spans="1:6" x14ac:dyDescent="0.3">
      <c r="B255">
        <v>14</v>
      </c>
      <c r="D255" t="s">
        <v>30</v>
      </c>
      <c r="F255">
        <f>STDEV(B248:B346)</f>
        <v>4.1020028694179675</v>
      </c>
    </row>
    <row r="256" spans="1:6" x14ac:dyDescent="0.3">
      <c r="B256">
        <v>16</v>
      </c>
      <c r="D256" t="s">
        <v>34</v>
      </c>
      <c r="F256">
        <f>QUARTILE(B248:B346,1)</f>
        <v>14</v>
      </c>
    </row>
    <row r="257" spans="2:6" x14ac:dyDescent="0.3">
      <c r="B257">
        <v>22</v>
      </c>
      <c r="D257" t="s">
        <v>35</v>
      </c>
      <c r="F257">
        <f>QUARTILE(B248:B346,3)</f>
        <v>20</v>
      </c>
    </row>
    <row r="258" spans="2:6" x14ac:dyDescent="0.3">
      <c r="B258">
        <v>9</v>
      </c>
    </row>
    <row r="259" spans="2:6" x14ac:dyDescent="0.3">
      <c r="B259">
        <v>17</v>
      </c>
    </row>
    <row r="260" spans="2:6" x14ac:dyDescent="0.3">
      <c r="B260">
        <v>11</v>
      </c>
    </row>
    <row r="261" spans="2:6" x14ac:dyDescent="0.3">
      <c r="B261">
        <v>13</v>
      </c>
    </row>
    <row r="262" spans="2:6" x14ac:dyDescent="0.3">
      <c r="B262">
        <v>19</v>
      </c>
    </row>
    <row r="263" spans="2:6" x14ac:dyDescent="0.3">
      <c r="B263">
        <v>23</v>
      </c>
    </row>
    <row r="264" spans="2:6" x14ac:dyDescent="0.3">
      <c r="B264">
        <v>21</v>
      </c>
    </row>
    <row r="265" spans="2:6" x14ac:dyDescent="0.3">
      <c r="B265">
        <v>16</v>
      </c>
    </row>
    <row r="266" spans="2:6" x14ac:dyDescent="0.3">
      <c r="B266">
        <v>24</v>
      </c>
    </row>
    <row r="267" spans="2:6" x14ac:dyDescent="0.3">
      <c r="B267">
        <v>27</v>
      </c>
    </row>
    <row r="268" spans="2:6" x14ac:dyDescent="0.3">
      <c r="B268">
        <v>13</v>
      </c>
    </row>
    <row r="269" spans="2:6" x14ac:dyDescent="0.3">
      <c r="B269">
        <v>10</v>
      </c>
    </row>
    <row r="270" spans="2:6" x14ac:dyDescent="0.3">
      <c r="B270">
        <v>18</v>
      </c>
    </row>
    <row r="271" spans="2:6" x14ac:dyDescent="0.3">
      <c r="B271">
        <v>16</v>
      </c>
    </row>
    <row r="272" spans="2:6" x14ac:dyDescent="0.3">
      <c r="B272">
        <v>12</v>
      </c>
    </row>
    <row r="273" spans="2:2" x14ac:dyDescent="0.3">
      <c r="B273">
        <v>14</v>
      </c>
    </row>
    <row r="274" spans="2:2" x14ac:dyDescent="0.3">
      <c r="B274">
        <v>19</v>
      </c>
    </row>
    <row r="275" spans="2:2" x14ac:dyDescent="0.3">
      <c r="B275">
        <v>21</v>
      </c>
    </row>
    <row r="276" spans="2:2" x14ac:dyDescent="0.3">
      <c r="B276">
        <v>11</v>
      </c>
    </row>
    <row r="277" spans="2:2" x14ac:dyDescent="0.3">
      <c r="B277">
        <v>17</v>
      </c>
    </row>
    <row r="278" spans="2:2" x14ac:dyDescent="0.3">
      <c r="B278">
        <v>15</v>
      </c>
    </row>
    <row r="279" spans="2:2" x14ac:dyDescent="0.3">
      <c r="B279">
        <v>20</v>
      </c>
    </row>
    <row r="280" spans="2:2" x14ac:dyDescent="0.3">
      <c r="B280">
        <v>25</v>
      </c>
    </row>
    <row r="281" spans="2:2" x14ac:dyDescent="0.3">
      <c r="B281">
        <v>13</v>
      </c>
    </row>
    <row r="282" spans="2:2" x14ac:dyDescent="0.3">
      <c r="B282">
        <v>12</v>
      </c>
    </row>
    <row r="283" spans="2:2" x14ac:dyDescent="0.3">
      <c r="B283">
        <v>14</v>
      </c>
    </row>
    <row r="284" spans="2:2" x14ac:dyDescent="0.3">
      <c r="B284">
        <v>22</v>
      </c>
    </row>
    <row r="285" spans="2:2" x14ac:dyDescent="0.3">
      <c r="B285">
        <v>19</v>
      </c>
    </row>
    <row r="286" spans="2:2" x14ac:dyDescent="0.3">
      <c r="B286">
        <v>16</v>
      </c>
    </row>
    <row r="287" spans="2:2" x14ac:dyDescent="0.3">
      <c r="B287">
        <v>11</v>
      </c>
    </row>
    <row r="288" spans="2:2" x14ac:dyDescent="0.3">
      <c r="B288">
        <v>25</v>
      </c>
    </row>
    <row r="289" spans="2:2" x14ac:dyDescent="0.3">
      <c r="B289">
        <v>18</v>
      </c>
    </row>
    <row r="290" spans="2:2" x14ac:dyDescent="0.3">
      <c r="B290">
        <v>16</v>
      </c>
    </row>
    <row r="291" spans="2:2" x14ac:dyDescent="0.3">
      <c r="B291">
        <v>13</v>
      </c>
    </row>
    <row r="292" spans="2:2" x14ac:dyDescent="0.3">
      <c r="B292">
        <v>21</v>
      </c>
    </row>
    <row r="293" spans="2:2" x14ac:dyDescent="0.3">
      <c r="B293">
        <v>20</v>
      </c>
    </row>
    <row r="294" spans="2:2" x14ac:dyDescent="0.3">
      <c r="B294">
        <v>15</v>
      </c>
    </row>
    <row r="295" spans="2:2" x14ac:dyDescent="0.3">
      <c r="B295">
        <v>12</v>
      </c>
    </row>
    <row r="296" spans="2:2" x14ac:dyDescent="0.3">
      <c r="B296">
        <v>19</v>
      </c>
    </row>
    <row r="297" spans="2:2" x14ac:dyDescent="0.3">
      <c r="B297">
        <v>17</v>
      </c>
    </row>
    <row r="298" spans="2:2" x14ac:dyDescent="0.3">
      <c r="B298">
        <v>14</v>
      </c>
    </row>
    <row r="299" spans="2:2" x14ac:dyDescent="0.3">
      <c r="B299">
        <v>16</v>
      </c>
    </row>
    <row r="300" spans="2:2" x14ac:dyDescent="0.3">
      <c r="B300">
        <v>23</v>
      </c>
    </row>
    <row r="301" spans="2:2" x14ac:dyDescent="0.3">
      <c r="B301">
        <v>18</v>
      </c>
    </row>
    <row r="302" spans="2:2" x14ac:dyDescent="0.3">
      <c r="B302">
        <v>15</v>
      </c>
    </row>
    <row r="303" spans="2:2" x14ac:dyDescent="0.3">
      <c r="B303">
        <v>16</v>
      </c>
    </row>
    <row r="304" spans="2:2" x14ac:dyDescent="0.3">
      <c r="B304">
        <v>19</v>
      </c>
    </row>
    <row r="305" spans="2:2" x14ac:dyDescent="0.3">
      <c r="B305">
        <v>22</v>
      </c>
    </row>
    <row r="306" spans="2:2" x14ac:dyDescent="0.3">
      <c r="B306">
        <v>17</v>
      </c>
    </row>
    <row r="307" spans="2:2" x14ac:dyDescent="0.3">
      <c r="B307">
        <v>22</v>
      </c>
    </row>
    <row r="308" spans="2:2" x14ac:dyDescent="0.3">
      <c r="B308">
        <v>16</v>
      </c>
    </row>
    <row r="309" spans="2:2" x14ac:dyDescent="0.3">
      <c r="B309">
        <v>14</v>
      </c>
    </row>
    <row r="310" spans="2:2" x14ac:dyDescent="0.3">
      <c r="B310">
        <v>18</v>
      </c>
    </row>
    <row r="311" spans="2:2" x14ac:dyDescent="0.3">
      <c r="B311">
        <v>20</v>
      </c>
    </row>
    <row r="312" spans="2:2" x14ac:dyDescent="0.3">
      <c r="B312">
        <v>25</v>
      </c>
    </row>
    <row r="313" spans="2:2" x14ac:dyDescent="0.3">
      <c r="B313">
        <v>13</v>
      </c>
    </row>
    <row r="314" spans="2:2" x14ac:dyDescent="0.3">
      <c r="B314">
        <v>11</v>
      </c>
    </row>
    <row r="315" spans="2:2" x14ac:dyDescent="0.3">
      <c r="B315">
        <v>22</v>
      </c>
    </row>
    <row r="316" spans="2:2" x14ac:dyDescent="0.3">
      <c r="B316">
        <v>19</v>
      </c>
    </row>
    <row r="317" spans="2:2" x14ac:dyDescent="0.3">
      <c r="B317">
        <v>17</v>
      </c>
    </row>
    <row r="318" spans="2:2" x14ac:dyDescent="0.3">
      <c r="B318">
        <v>15</v>
      </c>
    </row>
    <row r="319" spans="2:2" x14ac:dyDescent="0.3">
      <c r="B319">
        <v>16</v>
      </c>
    </row>
    <row r="320" spans="2:2" x14ac:dyDescent="0.3">
      <c r="B320">
        <v>13</v>
      </c>
    </row>
    <row r="321" spans="2:2" x14ac:dyDescent="0.3">
      <c r="B321">
        <v>14</v>
      </c>
    </row>
    <row r="322" spans="2:2" x14ac:dyDescent="0.3">
      <c r="B322">
        <v>18</v>
      </c>
    </row>
    <row r="323" spans="2:2" x14ac:dyDescent="0.3">
      <c r="B323">
        <v>20</v>
      </c>
    </row>
    <row r="324" spans="2:2" x14ac:dyDescent="0.3">
      <c r="B324">
        <v>19</v>
      </c>
    </row>
    <row r="325" spans="2:2" x14ac:dyDescent="0.3">
      <c r="B325">
        <v>21</v>
      </c>
    </row>
    <row r="326" spans="2:2" x14ac:dyDescent="0.3">
      <c r="B326">
        <v>17</v>
      </c>
    </row>
    <row r="327" spans="2:2" x14ac:dyDescent="0.3">
      <c r="B327">
        <v>12</v>
      </c>
    </row>
    <row r="328" spans="2:2" x14ac:dyDescent="0.3">
      <c r="B328">
        <v>13</v>
      </c>
    </row>
    <row r="329" spans="2:2" x14ac:dyDescent="0.3">
      <c r="B329">
        <v>16</v>
      </c>
    </row>
    <row r="330" spans="2:2" x14ac:dyDescent="0.3">
      <c r="B330">
        <v>14</v>
      </c>
    </row>
    <row r="331" spans="2:2" x14ac:dyDescent="0.3">
      <c r="B331">
        <v>22</v>
      </c>
    </row>
    <row r="332" spans="2:2" x14ac:dyDescent="0.3">
      <c r="B332">
        <v>21</v>
      </c>
    </row>
    <row r="333" spans="2:2" x14ac:dyDescent="0.3">
      <c r="B333">
        <v>19</v>
      </c>
    </row>
    <row r="334" spans="2:2" x14ac:dyDescent="0.3">
      <c r="B334">
        <v>18</v>
      </c>
    </row>
    <row r="335" spans="2:2" x14ac:dyDescent="0.3">
      <c r="B335">
        <v>16</v>
      </c>
    </row>
    <row r="336" spans="2:2" x14ac:dyDescent="0.3">
      <c r="B336">
        <v>11</v>
      </c>
    </row>
    <row r="337" spans="1:19" x14ac:dyDescent="0.3">
      <c r="B337">
        <v>17</v>
      </c>
    </row>
    <row r="338" spans="1:19" x14ac:dyDescent="0.3">
      <c r="B338">
        <v>14</v>
      </c>
    </row>
    <row r="339" spans="1:19" x14ac:dyDescent="0.3">
      <c r="B339">
        <v>12</v>
      </c>
    </row>
    <row r="340" spans="1:19" x14ac:dyDescent="0.3">
      <c r="B340">
        <v>20</v>
      </c>
    </row>
    <row r="341" spans="1:19" x14ac:dyDescent="0.3">
      <c r="B341">
        <v>23</v>
      </c>
    </row>
    <row r="342" spans="1:19" x14ac:dyDescent="0.3">
      <c r="B342">
        <v>19</v>
      </c>
    </row>
    <row r="343" spans="1:19" x14ac:dyDescent="0.3">
      <c r="B343">
        <v>15</v>
      </c>
    </row>
    <row r="344" spans="1:19" x14ac:dyDescent="0.3">
      <c r="B344">
        <v>16</v>
      </c>
    </row>
    <row r="345" spans="1:19" x14ac:dyDescent="0.3">
      <c r="B345">
        <v>13</v>
      </c>
    </row>
    <row r="346" spans="1:19" x14ac:dyDescent="0.3">
      <c r="B346">
        <v>18</v>
      </c>
    </row>
    <row r="348" spans="1:19" x14ac:dyDescent="0.3">
      <c r="O348" t="s">
        <v>9</v>
      </c>
      <c r="P348" t="s">
        <v>27</v>
      </c>
      <c r="Q348" t="s">
        <v>26</v>
      </c>
      <c r="R348" t="s">
        <v>46</v>
      </c>
      <c r="S348" t="s">
        <v>24</v>
      </c>
    </row>
    <row r="350" spans="1:19" x14ac:dyDescent="0.3">
      <c r="A350">
        <v>7</v>
      </c>
      <c r="B350" t="s">
        <v>37</v>
      </c>
      <c r="C350">
        <v>30</v>
      </c>
      <c r="D350">
        <v>32</v>
      </c>
      <c r="E350">
        <v>33</v>
      </c>
      <c r="F350">
        <v>28</v>
      </c>
      <c r="G350">
        <v>31</v>
      </c>
      <c r="H350">
        <v>30</v>
      </c>
      <c r="I350">
        <v>29</v>
      </c>
      <c r="J350">
        <v>30</v>
      </c>
      <c r="K350">
        <v>32</v>
      </c>
      <c r="L350">
        <v>31</v>
      </c>
      <c r="O350">
        <f>AVERAGE(C350:L350)</f>
        <v>30.6</v>
      </c>
      <c r="P350">
        <f>MAX(C350:L350)</f>
        <v>33</v>
      </c>
      <c r="Q350">
        <f>MIN(C350:L350)</f>
        <v>28</v>
      </c>
      <c r="R350">
        <f>P350-Q350</f>
        <v>5</v>
      </c>
      <c r="S350">
        <f>_xlfn.VAR.S(C350:L350)</f>
        <v>2.2666666666666675</v>
      </c>
    </row>
    <row r="351" spans="1:19" x14ac:dyDescent="0.3">
      <c r="B351" t="s">
        <v>38</v>
      </c>
      <c r="C351">
        <v>25</v>
      </c>
      <c r="D351">
        <v>27</v>
      </c>
      <c r="E351">
        <v>26</v>
      </c>
      <c r="F351">
        <v>23</v>
      </c>
      <c r="G351">
        <v>28</v>
      </c>
      <c r="H351">
        <v>24</v>
      </c>
      <c r="I351">
        <v>26</v>
      </c>
      <c r="J351">
        <v>25</v>
      </c>
      <c r="K351">
        <v>27</v>
      </c>
      <c r="L351">
        <v>28</v>
      </c>
      <c r="O351">
        <f t="shared" ref="O351:O354" si="0">AVERAGE(C351:L351)</f>
        <v>25.9</v>
      </c>
      <c r="P351">
        <f t="shared" ref="P351:P354" si="1">MAX(C351:L351)</f>
        <v>28</v>
      </c>
      <c r="Q351">
        <f t="shared" ref="Q351:Q354" si="2">MIN(C351:L351)</f>
        <v>23</v>
      </c>
      <c r="R351">
        <f t="shared" ref="R351:R354" si="3">P351-Q351</f>
        <v>5</v>
      </c>
      <c r="S351">
        <f t="shared" ref="S351:S354" si="4">_xlfn.VAR.S(C351:L351)</f>
        <v>2.7666666666666675</v>
      </c>
    </row>
    <row r="352" spans="1:19" x14ac:dyDescent="0.3">
      <c r="B352" t="s">
        <v>39</v>
      </c>
      <c r="C352">
        <v>22</v>
      </c>
      <c r="D352">
        <v>23</v>
      </c>
      <c r="E352">
        <v>20</v>
      </c>
      <c r="F352">
        <v>25</v>
      </c>
      <c r="G352">
        <v>21</v>
      </c>
      <c r="H352">
        <v>24</v>
      </c>
      <c r="I352">
        <v>23</v>
      </c>
      <c r="J352">
        <v>22</v>
      </c>
      <c r="K352">
        <v>25</v>
      </c>
      <c r="L352">
        <v>24</v>
      </c>
      <c r="O352">
        <f t="shared" si="0"/>
        <v>22.9</v>
      </c>
      <c r="P352">
        <f t="shared" si="1"/>
        <v>25</v>
      </c>
      <c r="Q352">
        <f t="shared" si="2"/>
        <v>20</v>
      </c>
      <c r="R352">
        <f t="shared" si="3"/>
        <v>5</v>
      </c>
      <c r="S352">
        <f t="shared" si="4"/>
        <v>2.7666666666666675</v>
      </c>
    </row>
    <row r="353" spans="1:19" x14ac:dyDescent="0.3">
      <c r="B353" t="s">
        <v>40</v>
      </c>
      <c r="C353">
        <v>18</v>
      </c>
      <c r="D353">
        <v>17</v>
      </c>
      <c r="E353">
        <v>19</v>
      </c>
      <c r="F353">
        <v>20</v>
      </c>
      <c r="G353">
        <v>21</v>
      </c>
      <c r="H353">
        <v>18</v>
      </c>
      <c r="I353">
        <v>19</v>
      </c>
      <c r="J353">
        <v>17</v>
      </c>
      <c r="K353">
        <v>20</v>
      </c>
      <c r="L353">
        <v>19</v>
      </c>
      <c r="O353">
        <f t="shared" si="0"/>
        <v>18.8</v>
      </c>
      <c r="P353">
        <f t="shared" si="1"/>
        <v>21</v>
      </c>
      <c r="Q353">
        <f t="shared" si="2"/>
        <v>17</v>
      </c>
      <c r="R353">
        <f t="shared" si="3"/>
        <v>4</v>
      </c>
      <c r="S353">
        <f t="shared" si="4"/>
        <v>1.7333333333333332</v>
      </c>
    </row>
    <row r="354" spans="1:19" x14ac:dyDescent="0.3">
      <c r="B354" t="s">
        <v>41</v>
      </c>
      <c r="C354">
        <v>35</v>
      </c>
      <c r="D354">
        <v>36</v>
      </c>
      <c r="E354">
        <v>34</v>
      </c>
      <c r="F354">
        <v>35</v>
      </c>
      <c r="G354">
        <v>33</v>
      </c>
      <c r="H354">
        <v>34</v>
      </c>
      <c r="I354">
        <v>32</v>
      </c>
      <c r="J354">
        <v>33</v>
      </c>
      <c r="K354">
        <v>36</v>
      </c>
      <c r="L354">
        <v>34</v>
      </c>
      <c r="O354">
        <f t="shared" si="0"/>
        <v>34.200000000000003</v>
      </c>
      <c r="P354">
        <f t="shared" si="1"/>
        <v>36</v>
      </c>
      <c r="Q354">
        <f t="shared" si="2"/>
        <v>32</v>
      </c>
      <c r="R354">
        <f t="shared" si="3"/>
        <v>4</v>
      </c>
      <c r="S354">
        <f t="shared" si="4"/>
        <v>1.7333333333333332</v>
      </c>
    </row>
    <row r="358" spans="1:19" x14ac:dyDescent="0.3">
      <c r="A358">
        <v>8</v>
      </c>
      <c r="B358">
        <v>28</v>
      </c>
    </row>
    <row r="359" spans="1:19" x14ac:dyDescent="0.3">
      <c r="B359">
        <v>32</v>
      </c>
      <c r="D359" t="s">
        <v>9</v>
      </c>
      <c r="E359">
        <f>AVERAGE(B358:B457)</f>
        <v>34.99</v>
      </c>
    </row>
    <row r="360" spans="1:19" x14ac:dyDescent="0.3">
      <c r="B360">
        <v>35</v>
      </c>
      <c r="D360" t="s">
        <v>6</v>
      </c>
      <c r="E360">
        <f>MEDIAN(B358:B457)</f>
        <v>35</v>
      </c>
    </row>
    <row r="361" spans="1:19" x14ac:dyDescent="0.3">
      <c r="B361">
        <v>40</v>
      </c>
      <c r="D361" t="s">
        <v>27</v>
      </c>
      <c r="E361">
        <f>MAX(B358:B457)</f>
        <v>45</v>
      </c>
    </row>
    <row r="362" spans="1:19" x14ac:dyDescent="0.3">
      <c r="B362">
        <v>42</v>
      </c>
      <c r="D362" t="s">
        <v>26</v>
      </c>
      <c r="E362">
        <f>MIN(B358:B457)</f>
        <v>27</v>
      </c>
    </row>
    <row r="363" spans="1:19" x14ac:dyDescent="0.3">
      <c r="B363">
        <v>28</v>
      </c>
      <c r="D363" t="s">
        <v>23</v>
      </c>
      <c r="E363">
        <f>E361-E362</f>
        <v>18</v>
      </c>
    </row>
    <row r="364" spans="1:19" x14ac:dyDescent="0.3">
      <c r="B364">
        <v>33</v>
      </c>
    </row>
    <row r="365" spans="1:19" x14ac:dyDescent="0.3">
      <c r="B365">
        <v>38</v>
      </c>
    </row>
    <row r="366" spans="1:19" x14ac:dyDescent="0.3">
      <c r="B366">
        <v>30</v>
      </c>
    </row>
    <row r="367" spans="1:19" x14ac:dyDescent="0.3">
      <c r="B367">
        <v>41</v>
      </c>
    </row>
    <row r="368" spans="1:19" x14ac:dyDescent="0.3">
      <c r="B368">
        <v>37</v>
      </c>
    </row>
    <row r="369" spans="2:2" x14ac:dyDescent="0.3">
      <c r="B369">
        <v>31</v>
      </c>
    </row>
    <row r="370" spans="2:2" x14ac:dyDescent="0.3">
      <c r="B370">
        <v>34</v>
      </c>
    </row>
    <row r="371" spans="2:2" x14ac:dyDescent="0.3">
      <c r="B371">
        <v>29</v>
      </c>
    </row>
    <row r="372" spans="2:2" x14ac:dyDescent="0.3">
      <c r="B372">
        <v>36</v>
      </c>
    </row>
    <row r="373" spans="2:2" x14ac:dyDescent="0.3">
      <c r="B373">
        <v>43</v>
      </c>
    </row>
    <row r="374" spans="2:2" x14ac:dyDescent="0.3">
      <c r="B374">
        <v>39</v>
      </c>
    </row>
    <row r="375" spans="2:2" x14ac:dyDescent="0.3">
      <c r="B375">
        <v>27</v>
      </c>
    </row>
    <row r="376" spans="2:2" x14ac:dyDescent="0.3">
      <c r="B376">
        <v>35</v>
      </c>
    </row>
    <row r="377" spans="2:2" x14ac:dyDescent="0.3">
      <c r="B377">
        <v>31</v>
      </c>
    </row>
    <row r="378" spans="2:2" x14ac:dyDescent="0.3">
      <c r="B378">
        <v>39</v>
      </c>
    </row>
    <row r="379" spans="2:2" x14ac:dyDescent="0.3">
      <c r="B379">
        <v>45</v>
      </c>
    </row>
    <row r="380" spans="2:2" x14ac:dyDescent="0.3">
      <c r="B380">
        <v>29</v>
      </c>
    </row>
    <row r="381" spans="2:2" x14ac:dyDescent="0.3">
      <c r="B381">
        <v>33</v>
      </c>
    </row>
    <row r="382" spans="2:2" x14ac:dyDescent="0.3">
      <c r="B382">
        <v>37</v>
      </c>
    </row>
    <row r="383" spans="2:2" x14ac:dyDescent="0.3">
      <c r="B383">
        <v>40</v>
      </c>
    </row>
    <row r="384" spans="2:2" x14ac:dyDescent="0.3">
      <c r="B384">
        <v>36</v>
      </c>
    </row>
    <row r="385" spans="2:2" x14ac:dyDescent="0.3">
      <c r="B385">
        <v>29</v>
      </c>
    </row>
    <row r="386" spans="2:2" x14ac:dyDescent="0.3">
      <c r="B386">
        <v>31</v>
      </c>
    </row>
    <row r="387" spans="2:2" x14ac:dyDescent="0.3">
      <c r="B387">
        <v>38</v>
      </c>
    </row>
    <row r="388" spans="2:2" x14ac:dyDescent="0.3">
      <c r="B388">
        <v>35</v>
      </c>
    </row>
    <row r="389" spans="2:2" x14ac:dyDescent="0.3">
      <c r="B389">
        <v>44</v>
      </c>
    </row>
    <row r="390" spans="2:2" x14ac:dyDescent="0.3">
      <c r="B390">
        <v>32</v>
      </c>
    </row>
    <row r="391" spans="2:2" x14ac:dyDescent="0.3">
      <c r="B391">
        <v>39</v>
      </c>
    </row>
    <row r="392" spans="2:2" x14ac:dyDescent="0.3">
      <c r="B392">
        <v>36</v>
      </c>
    </row>
    <row r="393" spans="2:2" x14ac:dyDescent="0.3">
      <c r="B393">
        <v>30</v>
      </c>
    </row>
    <row r="394" spans="2:2" x14ac:dyDescent="0.3">
      <c r="B394">
        <v>33</v>
      </c>
    </row>
    <row r="395" spans="2:2" x14ac:dyDescent="0.3">
      <c r="B395">
        <v>28</v>
      </c>
    </row>
    <row r="396" spans="2:2" x14ac:dyDescent="0.3">
      <c r="B396">
        <v>41</v>
      </c>
    </row>
    <row r="397" spans="2:2" x14ac:dyDescent="0.3">
      <c r="B397">
        <v>35</v>
      </c>
    </row>
    <row r="398" spans="2:2" x14ac:dyDescent="0.3">
      <c r="B398">
        <v>31</v>
      </c>
    </row>
    <row r="399" spans="2:2" x14ac:dyDescent="0.3">
      <c r="B399">
        <v>37</v>
      </c>
    </row>
    <row r="400" spans="2:2" x14ac:dyDescent="0.3">
      <c r="B400">
        <v>42</v>
      </c>
    </row>
    <row r="401" spans="2:2" x14ac:dyDescent="0.3">
      <c r="B401">
        <v>29</v>
      </c>
    </row>
    <row r="402" spans="2:2" x14ac:dyDescent="0.3">
      <c r="B402">
        <v>34</v>
      </c>
    </row>
    <row r="403" spans="2:2" x14ac:dyDescent="0.3">
      <c r="B403">
        <v>40</v>
      </c>
    </row>
    <row r="404" spans="2:2" x14ac:dyDescent="0.3">
      <c r="B404">
        <v>31</v>
      </c>
    </row>
    <row r="405" spans="2:2" x14ac:dyDescent="0.3">
      <c r="B405">
        <v>33</v>
      </c>
    </row>
    <row r="406" spans="2:2" x14ac:dyDescent="0.3">
      <c r="B406">
        <v>38</v>
      </c>
    </row>
    <row r="407" spans="2:2" x14ac:dyDescent="0.3">
      <c r="B407">
        <v>36</v>
      </c>
    </row>
    <row r="408" spans="2:2" x14ac:dyDescent="0.3">
      <c r="B408">
        <v>39</v>
      </c>
    </row>
    <row r="409" spans="2:2" x14ac:dyDescent="0.3">
      <c r="B409">
        <v>27</v>
      </c>
    </row>
    <row r="410" spans="2:2" x14ac:dyDescent="0.3">
      <c r="B410">
        <v>35</v>
      </c>
    </row>
    <row r="411" spans="2:2" x14ac:dyDescent="0.3">
      <c r="B411">
        <v>30</v>
      </c>
    </row>
    <row r="412" spans="2:2" x14ac:dyDescent="0.3">
      <c r="B412">
        <v>43</v>
      </c>
    </row>
    <row r="413" spans="2:2" x14ac:dyDescent="0.3">
      <c r="B413">
        <v>29</v>
      </c>
    </row>
    <row r="414" spans="2:2" x14ac:dyDescent="0.3">
      <c r="B414">
        <v>32</v>
      </c>
    </row>
    <row r="415" spans="2:2" x14ac:dyDescent="0.3">
      <c r="B415">
        <v>36</v>
      </c>
    </row>
    <row r="416" spans="2:2" x14ac:dyDescent="0.3">
      <c r="B416">
        <v>31</v>
      </c>
    </row>
    <row r="417" spans="2:2" x14ac:dyDescent="0.3">
      <c r="B417">
        <v>30</v>
      </c>
    </row>
    <row r="418" spans="2:2" x14ac:dyDescent="0.3">
      <c r="B418">
        <v>38</v>
      </c>
    </row>
    <row r="419" spans="2:2" x14ac:dyDescent="0.3">
      <c r="B419">
        <v>44</v>
      </c>
    </row>
    <row r="420" spans="2:2" x14ac:dyDescent="0.3">
      <c r="B420">
        <v>37</v>
      </c>
    </row>
    <row r="421" spans="2:2" x14ac:dyDescent="0.3">
      <c r="B421">
        <v>33</v>
      </c>
    </row>
    <row r="422" spans="2:2" x14ac:dyDescent="0.3">
      <c r="B422">
        <v>35</v>
      </c>
    </row>
    <row r="423" spans="2:2" x14ac:dyDescent="0.3">
      <c r="B423">
        <v>41</v>
      </c>
    </row>
    <row r="424" spans="2:2" x14ac:dyDescent="0.3">
      <c r="B424">
        <v>30</v>
      </c>
    </row>
    <row r="425" spans="2:2" x14ac:dyDescent="0.3">
      <c r="B425">
        <v>31</v>
      </c>
    </row>
    <row r="426" spans="2:2" x14ac:dyDescent="0.3">
      <c r="B426">
        <v>39</v>
      </c>
    </row>
    <row r="427" spans="2:2" x14ac:dyDescent="0.3">
      <c r="B427">
        <v>28</v>
      </c>
    </row>
    <row r="428" spans="2:2" x14ac:dyDescent="0.3">
      <c r="B428">
        <v>45</v>
      </c>
    </row>
    <row r="429" spans="2:2" x14ac:dyDescent="0.3">
      <c r="B429">
        <v>29</v>
      </c>
    </row>
    <row r="430" spans="2:2" x14ac:dyDescent="0.3">
      <c r="B430">
        <v>33</v>
      </c>
    </row>
    <row r="431" spans="2:2" x14ac:dyDescent="0.3">
      <c r="B431">
        <v>38</v>
      </c>
    </row>
    <row r="432" spans="2:2" x14ac:dyDescent="0.3">
      <c r="B432">
        <v>34</v>
      </c>
    </row>
    <row r="433" spans="2:2" x14ac:dyDescent="0.3">
      <c r="B433">
        <v>32</v>
      </c>
    </row>
    <row r="434" spans="2:2" x14ac:dyDescent="0.3">
      <c r="B434">
        <v>35</v>
      </c>
    </row>
    <row r="435" spans="2:2" x14ac:dyDescent="0.3">
      <c r="B435">
        <v>31</v>
      </c>
    </row>
    <row r="436" spans="2:2" x14ac:dyDescent="0.3">
      <c r="B436">
        <v>40</v>
      </c>
    </row>
    <row r="437" spans="2:2" x14ac:dyDescent="0.3">
      <c r="B437">
        <v>36</v>
      </c>
    </row>
    <row r="438" spans="2:2" x14ac:dyDescent="0.3">
      <c r="B438">
        <v>39</v>
      </c>
    </row>
    <row r="439" spans="2:2" x14ac:dyDescent="0.3">
      <c r="B439">
        <v>27</v>
      </c>
    </row>
    <row r="440" spans="2:2" x14ac:dyDescent="0.3">
      <c r="B440">
        <v>35</v>
      </c>
    </row>
    <row r="441" spans="2:2" x14ac:dyDescent="0.3">
      <c r="B441">
        <v>30</v>
      </c>
    </row>
    <row r="442" spans="2:2" x14ac:dyDescent="0.3">
      <c r="B442">
        <v>43</v>
      </c>
    </row>
    <row r="443" spans="2:2" x14ac:dyDescent="0.3">
      <c r="B443">
        <v>29</v>
      </c>
    </row>
    <row r="444" spans="2:2" x14ac:dyDescent="0.3">
      <c r="B444">
        <v>32</v>
      </c>
    </row>
    <row r="445" spans="2:2" x14ac:dyDescent="0.3">
      <c r="B445">
        <v>36</v>
      </c>
    </row>
    <row r="446" spans="2:2" x14ac:dyDescent="0.3">
      <c r="B446">
        <v>31</v>
      </c>
    </row>
    <row r="447" spans="2:2" x14ac:dyDescent="0.3">
      <c r="B447">
        <v>40</v>
      </c>
    </row>
    <row r="448" spans="2:2" x14ac:dyDescent="0.3">
      <c r="B448">
        <v>38</v>
      </c>
    </row>
    <row r="449" spans="1:2" x14ac:dyDescent="0.3">
      <c r="B449">
        <v>44</v>
      </c>
    </row>
    <row r="450" spans="1:2" x14ac:dyDescent="0.3">
      <c r="B450">
        <v>37</v>
      </c>
    </row>
    <row r="451" spans="1:2" x14ac:dyDescent="0.3">
      <c r="B451">
        <v>33</v>
      </c>
    </row>
    <row r="452" spans="1:2" x14ac:dyDescent="0.3">
      <c r="B452">
        <v>45</v>
      </c>
    </row>
    <row r="453" spans="1:2" x14ac:dyDescent="0.3">
      <c r="B453">
        <v>41</v>
      </c>
    </row>
    <row r="454" spans="1:2" x14ac:dyDescent="0.3">
      <c r="B454">
        <v>30</v>
      </c>
    </row>
    <row r="455" spans="1:2" x14ac:dyDescent="0.3">
      <c r="B455">
        <v>31</v>
      </c>
    </row>
    <row r="456" spans="1:2" x14ac:dyDescent="0.3">
      <c r="B456">
        <v>39</v>
      </c>
    </row>
    <row r="457" spans="1:2" x14ac:dyDescent="0.3">
      <c r="B457">
        <v>28</v>
      </c>
    </row>
    <row r="459" spans="1:2" x14ac:dyDescent="0.3">
      <c r="A459">
        <v>9</v>
      </c>
    </row>
    <row r="461" spans="1:2" x14ac:dyDescent="0.3">
      <c r="B461">
        <v>56</v>
      </c>
    </row>
    <row r="462" spans="1:2" x14ac:dyDescent="0.3">
      <c r="B462">
        <v>40</v>
      </c>
    </row>
    <row r="463" spans="1:2" x14ac:dyDescent="0.3">
      <c r="B463">
        <v>28</v>
      </c>
    </row>
    <row r="464" spans="1:2" x14ac:dyDescent="0.3">
      <c r="B464">
        <v>73</v>
      </c>
    </row>
    <row r="465" spans="2:2" x14ac:dyDescent="0.3">
      <c r="B465">
        <v>52</v>
      </c>
    </row>
    <row r="466" spans="2:2" x14ac:dyDescent="0.3">
      <c r="B466">
        <v>61</v>
      </c>
    </row>
    <row r="467" spans="2:2" x14ac:dyDescent="0.3">
      <c r="B467">
        <v>35</v>
      </c>
    </row>
    <row r="468" spans="2:2" x14ac:dyDescent="0.3">
      <c r="B468">
        <v>40</v>
      </c>
    </row>
    <row r="469" spans="2:2" x14ac:dyDescent="0.3">
      <c r="B469">
        <v>47</v>
      </c>
    </row>
    <row r="470" spans="2:2" x14ac:dyDescent="0.3">
      <c r="B470">
        <v>65</v>
      </c>
    </row>
    <row r="471" spans="2:2" x14ac:dyDescent="0.3">
      <c r="B471">
        <v>52</v>
      </c>
    </row>
    <row r="472" spans="2:2" x14ac:dyDescent="0.3">
      <c r="B472">
        <v>44</v>
      </c>
    </row>
    <row r="473" spans="2:2" x14ac:dyDescent="0.3">
      <c r="B473">
        <v>38</v>
      </c>
    </row>
    <row r="474" spans="2:2" x14ac:dyDescent="0.3">
      <c r="B474">
        <v>60</v>
      </c>
    </row>
    <row r="475" spans="2:2" x14ac:dyDescent="0.3">
      <c r="B475">
        <v>56</v>
      </c>
    </row>
    <row r="476" spans="2:2" x14ac:dyDescent="0.3">
      <c r="B476">
        <v>40</v>
      </c>
    </row>
    <row r="477" spans="2:2" x14ac:dyDescent="0.3">
      <c r="B477">
        <v>36</v>
      </c>
    </row>
    <row r="478" spans="2:2" x14ac:dyDescent="0.3">
      <c r="B478">
        <v>49</v>
      </c>
    </row>
    <row r="479" spans="2:2" x14ac:dyDescent="0.3">
      <c r="B479">
        <v>68</v>
      </c>
    </row>
    <row r="480" spans="2:2" x14ac:dyDescent="0.3">
      <c r="B480">
        <v>57</v>
      </c>
    </row>
    <row r="481" spans="2:2" x14ac:dyDescent="0.3">
      <c r="B481">
        <v>52</v>
      </c>
    </row>
    <row r="482" spans="2:2" x14ac:dyDescent="0.3">
      <c r="B482">
        <v>63</v>
      </c>
    </row>
    <row r="483" spans="2:2" x14ac:dyDescent="0.3">
      <c r="B483">
        <v>41</v>
      </c>
    </row>
    <row r="484" spans="2:2" x14ac:dyDescent="0.3">
      <c r="B484">
        <v>38</v>
      </c>
    </row>
    <row r="485" spans="2:2" x14ac:dyDescent="0.3">
      <c r="B485">
        <v>55</v>
      </c>
    </row>
    <row r="486" spans="2:2" x14ac:dyDescent="0.3">
      <c r="B486">
        <v>42</v>
      </c>
    </row>
    <row r="487" spans="2:2" x14ac:dyDescent="0.3">
      <c r="B487">
        <v>39</v>
      </c>
    </row>
    <row r="488" spans="2:2" x14ac:dyDescent="0.3">
      <c r="B488">
        <v>58</v>
      </c>
    </row>
    <row r="489" spans="2:2" x14ac:dyDescent="0.3">
      <c r="B489">
        <v>62</v>
      </c>
    </row>
    <row r="490" spans="2:2" x14ac:dyDescent="0.3">
      <c r="B490">
        <v>49</v>
      </c>
    </row>
    <row r="491" spans="2:2" x14ac:dyDescent="0.3">
      <c r="B491">
        <v>59</v>
      </c>
    </row>
    <row r="492" spans="2:2" x14ac:dyDescent="0.3">
      <c r="B492">
        <v>47</v>
      </c>
    </row>
    <row r="493" spans="2:2" x14ac:dyDescent="0.3">
      <c r="B493">
        <v>45</v>
      </c>
    </row>
    <row r="494" spans="2:2" x14ac:dyDescent="0.3">
      <c r="B494">
        <v>51</v>
      </c>
    </row>
    <row r="495" spans="2:2" x14ac:dyDescent="0.3">
      <c r="B495">
        <v>65</v>
      </c>
    </row>
    <row r="496" spans="2:2" x14ac:dyDescent="0.3">
      <c r="B496">
        <v>41</v>
      </c>
    </row>
    <row r="497" spans="1:2" x14ac:dyDescent="0.3">
      <c r="B497">
        <v>48</v>
      </c>
    </row>
    <row r="498" spans="1:2" x14ac:dyDescent="0.3">
      <c r="B498">
        <v>55</v>
      </c>
    </row>
    <row r="499" spans="1:2" x14ac:dyDescent="0.3">
      <c r="B499">
        <v>42</v>
      </c>
    </row>
    <row r="500" spans="1:2" x14ac:dyDescent="0.3">
      <c r="B500">
        <v>39</v>
      </c>
    </row>
    <row r="501" spans="1:2" x14ac:dyDescent="0.3">
      <c r="B501">
        <v>58</v>
      </c>
    </row>
    <row r="502" spans="1:2" x14ac:dyDescent="0.3">
      <c r="B502">
        <v>62</v>
      </c>
    </row>
    <row r="503" spans="1:2" x14ac:dyDescent="0.3">
      <c r="B503">
        <v>49</v>
      </c>
    </row>
    <row r="504" spans="1:2" x14ac:dyDescent="0.3">
      <c r="B504">
        <v>59</v>
      </c>
    </row>
    <row r="505" spans="1:2" x14ac:dyDescent="0.3">
      <c r="B505">
        <v>45</v>
      </c>
    </row>
    <row r="506" spans="1:2" x14ac:dyDescent="0.3">
      <c r="B506">
        <v>47</v>
      </c>
    </row>
    <row r="507" spans="1:2" x14ac:dyDescent="0.3">
      <c r="B507">
        <v>51</v>
      </c>
    </row>
    <row r="508" spans="1:2" x14ac:dyDescent="0.3">
      <c r="B508">
        <v>65</v>
      </c>
    </row>
    <row r="509" spans="1:2" x14ac:dyDescent="0.3">
      <c r="B509">
        <v>43</v>
      </c>
    </row>
    <row r="510" spans="1:2" x14ac:dyDescent="0.3">
      <c r="B510">
        <v>58</v>
      </c>
    </row>
    <row r="512" spans="1:2" x14ac:dyDescent="0.3">
      <c r="A512">
        <v>11</v>
      </c>
    </row>
    <row r="514" spans="2:2" x14ac:dyDescent="0.3">
      <c r="B514">
        <v>4</v>
      </c>
    </row>
    <row r="515" spans="2:2" x14ac:dyDescent="0.3">
      <c r="B515">
        <v>5</v>
      </c>
    </row>
    <row r="516" spans="2:2" x14ac:dyDescent="0.3">
      <c r="B516">
        <v>3</v>
      </c>
    </row>
    <row r="517" spans="2:2" x14ac:dyDescent="0.3">
      <c r="B517">
        <v>4</v>
      </c>
    </row>
    <row r="518" spans="2:2" x14ac:dyDescent="0.3">
      <c r="B518">
        <v>4</v>
      </c>
    </row>
    <row r="519" spans="2:2" x14ac:dyDescent="0.3">
      <c r="B519">
        <v>3</v>
      </c>
    </row>
    <row r="520" spans="2:2" x14ac:dyDescent="0.3">
      <c r="B520">
        <v>2</v>
      </c>
    </row>
    <row r="521" spans="2:2" x14ac:dyDescent="0.3">
      <c r="B521">
        <v>5</v>
      </c>
    </row>
    <row r="522" spans="2:2" x14ac:dyDescent="0.3">
      <c r="B522">
        <v>4</v>
      </c>
    </row>
    <row r="523" spans="2:2" x14ac:dyDescent="0.3">
      <c r="B523">
        <v>3</v>
      </c>
    </row>
    <row r="524" spans="2:2" x14ac:dyDescent="0.3">
      <c r="B524">
        <v>5</v>
      </c>
    </row>
    <row r="525" spans="2:2" x14ac:dyDescent="0.3">
      <c r="B525">
        <v>4</v>
      </c>
    </row>
    <row r="526" spans="2:2" x14ac:dyDescent="0.3">
      <c r="B526">
        <v>2</v>
      </c>
    </row>
    <row r="527" spans="2:2" x14ac:dyDescent="0.3">
      <c r="B527">
        <v>3</v>
      </c>
    </row>
    <row r="528" spans="2:2" x14ac:dyDescent="0.3">
      <c r="B528">
        <v>4</v>
      </c>
    </row>
    <row r="529" spans="2:2" x14ac:dyDescent="0.3">
      <c r="B529">
        <v>5</v>
      </c>
    </row>
    <row r="530" spans="2:2" x14ac:dyDescent="0.3">
      <c r="B530">
        <v>3</v>
      </c>
    </row>
    <row r="531" spans="2:2" x14ac:dyDescent="0.3">
      <c r="B531">
        <v>4</v>
      </c>
    </row>
    <row r="532" spans="2:2" x14ac:dyDescent="0.3">
      <c r="B532">
        <v>5</v>
      </c>
    </row>
    <row r="533" spans="2:2" x14ac:dyDescent="0.3">
      <c r="B533">
        <v>3</v>
      </c>
    </row>
    <row r="534" spans="2:2" x14ac:dyDescent="0.3">
      <c r="B534">
        <v>4</v>
      </c>
    </row>
    <row r="535" spans="2:2" x14ac:dyDescent="0.3">
      <c r="B535">
        <v>3</v>
      </c>
    </row>
    <row r="536" spans="2:2" x14ac:dyDescent="0.3">
      <c r="B536">
        <v>2</v>
      </c>
    </row>
    <row r="537" spans="2:2" x14ac:dyDescent="0.3">
      <c r="B537">
        <v>4</v>
      </c>
    </row>
    <row r="538" spans="2:2" x14ac:dyDescent="0.3">
      <c r="B538">
        <v>5</v>
      </c>
    </row>
    <row r="539" spans="2:2" x14ac:dyDescent="0.3">
      <c r="B539">
        <v>3</v>
      </c>
    </row>
    <row r="540" spans="2:2" x14ac:dyDescent="0.3">
      <c r="B540">
        <v>4</v>
      </c>
    </row>
    <row r="541" spans="2:2" x14ac:dyDescent="0.3">
      <c r="B541">
        <v>5</v>
      </c>
    </row>
    <row r="542" spans="2:2" x14ac:dyDescent="0.3">
      <c r="B542">
        <v>4</v>
      </c>
    </row>
    <row r="543" spans="2:2" x14ac:dyDescent="0.3">
      <c r="B543">
        <v>3</v>
      </c>
    </row>
    <row r="544" spans="2:2" x14ac:dyDescent="0.3">
      <c r="B544">
        <v>3</v>
      </c>
    </row>
    <row r="545" spans="2:2" x14ac:dyDescent="0.3">
      <c r="B545">
        <v>4</v>
      </c>
    </row>
    <row r="546" spans="2:2" x14ac:dyDescent="0.3">
      <c r="B546">
        <v>5</v>
      </c>
    </row>
    <row r="547" spans="2:2" x14ac:dyDescent="0.3">
      <c r="B547">
        <v>2</v>
      </c>
    </row>
    <row r="548" spans="2:2" x14ac:dyDescent="0.3">
      <c r="B548">
        <v>3</v>
      </c>
    </row>
    <row r="549" spans="2:2" x14ac:dyDescent="0.3">
      <c r="B549">
        <v>4</v>
      </c>
    </row>
    <row r="550" spans="2:2" x14ac:dyDescent="0.3">
      <c r="B550">
        <v>4</v>
      </c>
    </row>
    <row r="551" spans="2:2" x14ac:dyDescent="0.3">
      <c r="B551">
        <v>3</v>
      </c>
    </row>
    <row r="552" spans="2:2" x14ac:dyDescent="0.3">
      <c r="B552">
        <v>5</v>
      </c>
    </row>
    <row r="553" spans="2:2" x14ac:dyDescent="0.3">
      <c r="B553">
        <v>4</v>
      </c>
    </row>
    <row r="554" spans="2:2" x14ac:dyDescent="0.3">
      <c r="B554">
        <v>3</v>
      </c>
    </row>
    <row r="555" spans="2:2" x14ac:dyDescent="0.3">
      <c r="B555">
        <v>4</v>
      </c>
    </row>
    <row r="556" spans="2:2" x14ac:dyDescent="0.3">
      <c r="B556">
        <v>5</v>
      </c>
    </row>
    <row r="557" spans="2:2" x14ac:dyDescent="0.3">
      <c r="B557">
        <v>4</v>
      </c>
    </row>
    <row r="558" spans="2:2" x14ac:dyDescent="0.3">
      <c r="B558">
        <v>2</v>
      </c>
    </row>
    <row r="559" spans="2:2" x14ac:dyDescent="0.3">
      <c r="B559">
        <v>3</v>
      </c>
    </row>
    <row r="560" spans="2:2" x14ac:dyDescent="0.3">
      <c r="B560">
        <v>4</v>
      </c>
    </row>
    <row r="561" spans="2:5" x14ac:dyDescent="0.3">
      <c r="B561">
        <v>5</v>
      </c>
    </row>
    <row r="562" spans="2:5" x14ac:dyDescent="0.3">
      <c r="B562">
        <v>3</v>
      </c>
    </row>
    <row r="563" spans="2:5" x14ac:dyDescent="0.3">
      <c r="B563">
        <v>4</v>
      </c>
    </row>
    <row r="564" spans="2:5" x14ac:dyDescent="0.3">
      <c r="B564">
        <v>5</v>
      </c>
    </row>
    <row r="565" spans="2:5" x14ac:dyDescent="0.3">
      <c r="B565">
        <v>4</v>
      </c>
    </row>
    <row r="566" spans="2:5" x14ac:dyDescent="0.3">
      <c r="B566">
        <v>3</v>
      </c>
      <c r="D566" t="s">
        <v>7</v>
      </c>
      <c r="E566">
        <f>MODE(B514:B613)</f>
        <v>4</v>
      </c>
    </row>
    <row r="567" spans="2:5" x14ac:dyDescent="0.3">
      <c r="B567">
        <v>4</v>
      </c>
    </row>
    <row r="568" spans="2:5" x14ac:dyDescent="0.3">
      <c r="B568">
        <v>5</v>
      </c>
    </row>
    <row r="569" spans="2:5" x14ac:dyDescent="0.3">
      <c r="B569">
        <v>3</v>
      </c>
    </row>
    <row r="570" spans="2:5" x14ac:dyDescent="0.3">
      <c r="B570">
        <v>4</v>
      </c>
    </row>
    <row r="571" spans="2:5" x14ac:dyDescent="0.3">
      <c r="B571">
        <v>5</v>
      </c>
    </row>
    <row r="572" spans="2:5" x14ac:dyDescent="0.3">
      <c r="B572">
        <v>4</v>
      </c>
    </row>
    <row r="573" spans="2:5" x14ac:dyDescent="0.3">
      <c r="B573">
        <v>3</v>
      </c>
    </row>
    <row r="574" spans="2:5" x14ac:dyDescent="0.3">
      <c r="B574">
        <v>3</v>
      </c>
    </row>
    <row r="575" spans="2:5" x14ac:dyDescent="0.3">
      <c r="B575">
        <v>4</v>
      </c>
    </row>
    <row r="576" spans="2:5" x14ac:dyDescent="0.3">
      <c r="B576">
        <v>5</v>
      </c>
    </row>
    <row r="577" spans="2:2" x14ac:dyDescent="0.3">
      <c r="B577">
        <v>2</v>
      </c>
    </row>
    <row r="578" spans="2:2" x14ac:dyDescent="0.3">
      <c r="B578">
        <v>3</v>
      </c>
    </row>
    <row r="579" spans="2:2" x14ac:dyDescent="0.3">
      <c r="B579">
        <v>4</v>
      </c>
    </row>
    <row r="580" spans="2:2" x14ac:dyDescent="0.3">
      <c r="B580">
        <v>4</v>
      </c>
    </row>
    <row r="581" spans="2:2" x14ac:dyDescent="0.3">
      <c r="B581">
        <v>3</v>
      </c>
    </row>
    <row r="582" spans="2:2" x14ac:dyDescent="0.3">
      <c r="B582">
        <v>5</v>
      </c>
    </row>
    <row r="583" spans="2:2" x14ac:dyDescent="0.3">
      <c r="B583">
        <v>4</v>
      </c>
    </row>
    <row r="584" spans="2:2" x14ac:dyDescent="0.3">
      <c r="B584">
        <v>3</v>
      </c>
    </row>
    <row r="585" spans="2:2" x14ac:dyDescent="0.3">
      <c r="B585">
        <v>4</v>
      </c>
    </row>
    <row r="586" spans="2:2" x14ac:dyDescent="0.3">
      <c r="B586">
        <v>5</v>
      </c>
    </row>
    <row r="587" spans="2:2" x14ac:dyDescent="0.3">
      <c r="B587">
        <v>4</v>
      </c>
    </row>
    <row r="588" spans="2:2" x14ac:dyDescent="0.3">
      <c r="B588">
        <v>2</v>
      </c>
    </row>
    <row r="589" spans="2:2" x14ac:dyDescent="0.3">
      <c r="B589">
        <v>3</v>
      </c>
    </row>
    <row r="590" spans="2:2" x14ac:dyDescent="0.3">
      <c r="B590">
        <v>4</v>
      </c>
    </row>
    <row r="591" spans="2:2" x14ac:dyDescent="0.3">
      <c r="B591">
        <v>5</v>
      </c>
    </row>
    <row r="592" spans="2:2" x14ac:dyDescent="0.3">
      <c r="B592">
        <v>3</v>
      </c>
    </row>
    <row r="593" spans="2:2" x14ac:dyDescent="0.3">
      <c r="B593">
        <v>4</v>
      </c>
    </row>
    <row r="594" spans="2:2" x14ac:dyDescent="0.3">
      <c r="B594">
        <v>5</v>
      </c>
    </row>
    <row r="595" spans="2:2" x14ac:dyDescent="0.3">
      <c r="B595">
        <v>4</v>
      </c>
    </row>
    <row r="596" spans="2:2" x14ac:dyDescent="0.3">
      <c r="B596">
        <v>3</v>
      </c>
    </row>
    <row r="597" spans="2:2" x14ac:dyDescent="0.3">
      <c r="B597">
        <v>4</v>
      </c>
    </row>
    <row r="598" spans="2:2" x14ac:dyDescent="0.3">
      <c r="B598">
        <v>5</v>
      </c>
    </row>
    <row r="599" spans="2:2" x14ac:dyDescent="0.3">
      <c r="B599">
        <v>3</v>
      </c>
    </row>
    <row r="600" spans="2:2" x14ac:dyDescent="0.3">
      <c r="B600">
        <v>4</v>
      </c>
    </row>
    <row r="601" spans="2:2" x14ac:dyDescent="0.3">
      <c r="B601">
        <v>5</v>
      </c>
    </row>
    <row r="602" spans="2:2" x14ac:dyDescent="0.3">
      <c r="B602">
        <v>4</v>
      </c>
    </row>
    <row r="603" spans="2:2" x14ac:dyDescent="0.3">
      <c r="B603">
        <v>3</v>
      </c>
    </row>
    <row r="604" spans="2:2" x14ac:dyDescent="0.3">
      <c r="B604">
        <v>3</v>
      </c>
    </row>
    <row r="605" spans="2:2" x14ac:dyDescent="0.3">
      <c r="B605">
        <v>4</v>
      </c>
    </row>
    <row r="606" spans="2:2" x14ac:dyDescent="0.3">
      <c r="B606">
        <v>5</v>
      </c>
    </row>
    <row r="607" spans="2:2" x14ac:dyDescent="0.3">
      <c r="B607">
        <v>2</v>
      </c>
    </row>
    <row r="608" spans="2:2" x14ac:dyDescent="0.3">
      <c r="B608">
        <v>3</v>
      </c>
    </row>
    <row r="609" spans="1:17" x14ac:dyDescent="0.3">
      <c r="B609">
        <v>4</v>
      </c>
    </row>
    <row r="610" spans="1:17" x14ac:dyDescent="0.3">
      <c r="B610">
        <v>4</v>
      </c>
    </row>
    <row r="611" spans="1:17" x14ac:dyDescent="0.3">
      <c r="B611">
        <v>3</v>
      </c>
    </row>
    <row r="612" spans="1:17" x14ac:dyDescent="0.3">
      <c r="B612">
        <v>5</v>
      </c>
    </row>
    <row r="613" spans="1:17" x14ac:dyDescent="0.3">
      <c r="B613">
        <v>4</v>
      </c>
    </row>
    <row r="615" spans="1:17" x14ac:dyDescent="0.3">
      <c r="A615">
        <v>12</v>
      </c>
    </row>
    <row r="617" spans="1:17" x14ac:dyDescent="0.3">
      <c r="B617">
        <v>35</v>
      </c>
    </row>
    <row r="618" spans="1:17" x14ac:dyDescent="0.3">
      <c r="B618">
        <v>28</v>
      </c>
    </row>
    <row r="619" spans="1:17" x14ac:dyDescent="0.3">
      <c r="B619">
        <v>32</v>
      </c>
    </row>
    <row r="620" spans="1:17" x14ac:dyDescent="0.3">
      <c r="B620">
        <v>45</v>
      </c>
    </row>
    <row r="621" spans="1:17" x14ac:dyDescent="0.3">
      <c r="B621">
        <v>38</v>
      </c>
      <c r="P621" t="s">
        <v>9</v>
      </c>
      <c r="Q621">
        <f>AVERAGE(B617:B665)</f>
        <v>35.918367346938773</v>
      </c>
    </row>
    <row r="622" spans="1:17" x14ac:dyDescent="0.3">
      <c r="B622">
        <v>29</v>
      </c>
    </row>
    <row r="623" spans="1:17" x14ac:dyDescent="0.3">
      <c r="B623">
        <v>42</v>
      </c>
    </row>
    <row r="624" spans="1:17" x14ac:dyDescent="0.3">
      <c r="B624">
        <v>30</v>
      </c>
    </row>
    <row r="625" spans="2:2" x14ac:dyDescent="0.3">
      <c r="B625">
        <v>36</v>
      </c>
    </row>
    <row r="626" spans="2:2" x14ac:dyDescent="0.3">
      <c r="B626">
        <v>41</v>
      </c>
    </row>
    <row r="627" spans="2:2" x14ac:dyDescent="0.3">
      <c r="B627">
        <v>31</v>
      </c>
    </row>
    <row r="628" spans="2:2" x14ac:dyDescent="0.3">
      <c r="B628">
        <v>39</v>
      </c>
    </row>
    <row r="629" spans="2:2" x14ac:dyDescent="0.3">
      <c r="B629">
        <v>43</v>
      </c>
    </row>
    <row r="630" spans="2:2" x14ac:dyDescent="0.3">
      <c r="B630">
        <v>37</v>
      </c>
    </row>
    <row r="631" spans="2:2" x14ac:dyDescent="0.3">
      <c r="B631">
        <v>30</v>
      </c>
    </row>
    <row r="632" spans="2:2" x14ac:dyDescent="0.3">
      <c r="B632">
        <v>34</v>
      </c>
    </row>
    <row r="633" spans="2:2" x14ac:dyDescent="0.3">
      <c r="B633">
        <v>39</v>
      </c>
    </row>
    <row r="634" spans="2:2" x14ac:dyDescent="0.3">
      <c r="B634">
        <v>28</v>
      </c>
    </row>
    <row r="635" spans="2:2" x14ac:dyDescent="0.3">
      <c r="B635">
        <v>33</v>
      </c>
    </row>
    <row r="636" spans="2:2" x14ac:dyDescent="0.3">
      <c r="B636">
        <v>36</v>
      </c>
    </row>
    <row r="637" spans="2:2" x14ac:dyDescent="0.3">
      <c r="B637">
        <v>40</v>
      </c>
    </row>
    <row r="638" spans="2:2" x14ac:dyDescent="0.3">
      <c r="B638">
        <v>42</v>
      </c>
    </row>
    <row r="639" spans="2:2" x14ac:dyDescent="0.3">
      <c r="B639">
        <v>29</v>
      </c>
    </row>
    <row r="640" spans="2:2" x14ac:dyDescent="0.3">
      <c r="B640">
        <v>31</v>
      </c>
    </row>
    <row r="641" spans="2:2" x14ac:dyDescent="0.3">
      <c r="B641">
        <v>45</v>
      </c>
    </row>
    <row r="642" spans="2:2" x14ac:dyDescent="0.3">
      <c r="B642">
        <v>38</v>
      </c>
    </row>
    <row r="643" spans="2:2" x14ac:dyDescent="0.3">
      <c r="B643">
        <v>33</v>
      </c>
    </row>
    <row r="644" spans="2:2" x14ac:dyDescent="0.3">
      <c r="B644">
        <v>41</v>
      </c>
    </row>
    <row r="645" spans="2:2" x14ac:dyDescent="0.3">
      <c r="B645">
        <v>35</v>
      </c>
    </row>
    <row r="646" spans="2:2" x14ac:dyDescent="0.3">
      <c r="B646">
        <v>37</v>
      </c>
    </row>
    <row r="647" spans="2:2" x14ac:dyDescent="0.3">
      <c r="B647">
        <v>34</v>
      </c>
    </row>
    <row r="648" spans="2:2" x14ac:dyDescent="0.3">
      <c r="B648">
        <v>46</v>
      </c>
    </row>
    <row r="649" spans="2:2" x14ac:dyDescent="0.3">
      <c r="B649">
        <v>30</v>
      </c>
    </row>
    <row r="650" spans="2:2" x14ac:dyDescent="0.3">
      <c r="B650">
        <v>39</v>
      </c>
    </row>
    <row r="651" spans="2:2" x14ac:dyDescent="0.3">
      <c r="B651">
        <v>43</v>
      </c>
    </row>
    <row r="652" spans="2:2" x14ac:dyDescent="0.3">
      <c r="B652">
        <v>28</v>
      </c>
    </row>
    <row r="653" spans="2:2" x14ac:dyDescent="0.3">
      <c r="B653">
        <v>32</v>
      </c>
    </row>
    <row r="654" spans="2:2" x14ac:dyDescent="0.3">
      <c r="B654">
        <v>36</v>
      </c>
    </row>
    <row r="655" spans="2:2" x14ac:dyDescent="0.3">
      <c r="B655">
        <v>29</v>
      </c>
    </row>
    <row r="656" spans="2:2" x14ac:dyDescent="0.3">
      <c r="B656">
        <v>31</v>
      </c>
    </row>
    <row r="657" spans="1:2" x14ac:dyDescent="0.3">
      <c r="B657">
        <v>37</v>
      </c>
    </row>
    <row r="658" spans="1:2" x14ac:dyDescent="0.3">
      <c r="B658">
        <v>40</v>
      </c>
    </row>
    <row r="659" spans="1:2" x14ac:dyDescent="0.3">
      <c r="B659">
        <v>42</v>
      </c>
    </row>
    <row r="660" spans="1:2" x14ac:dyDescent="0.3">
      <c r="B660">
        <v>33</v>
      </c>
    </row>
    <row r="661" spans="1:2" x14ac:dyDescent="0.3">
      <c r="B661">
        <v>39</v>
      </c>
    </row>
    <row r="662" spans="1:2" x14ac:dyDescent="0.3">
      <c r="B662">
        <v>28</v>
      </c>
    </row>
    <row r="663" spans="1:2" x14ac:dyDescent="0.3">
      <c r="B663">
        <v>35</v>
      </c>
    </row>
    <row r="664" spans="1:2" x14ac:dyDescent="0.3">
      <c r="B664">
        <v>38</v>
      </c>
    </row>
    <row r="665" spans="1:2" x14ac:dyDescent="0.3">
      <c r="B665">
        <v>43</v>
      </c>
    </row>
    <row r="667" spans="1:2" x14ac:dyDescent="0.3">
      <c r="A667">
        <v>13</v>
      </c>
    </row>
    <row r="669" spans="1:2" x14ac:dyDescent="0.3">
      <c r="B669">
        <v>125</v>
      </c>
    </row>
    <row r="670" spans="1:2" x14ac:dyDescent="0.3">
      <c r="B670">
        <v>148</v>
      </c>
    </row>
    <row r="671" spans="1:2" x14ac:dyDescent="0.3">
      <c r="B671">
        <v>137</v>
      </c>
    </row>
    <row r="672" spans="1:2" x14ac:dyDescent="0.3">
      <c r="B672">
        <v>120</v>
      </c>
    </row>
    <row r="673" spans="2:2" x14ac:dyDescent="0.3">
      <c r="B673">
        <v>135</v>
      </c>
    </row>
    <row r="674" spans="2:2" x14ac:dyDescent="0.3">
      <c r="B674">
        <v>132</v>
      </c>
    </row>
    <row r="675" spans="2:2" x14ac:dyDescent="0.3">
      <c r="B675">
        <v>145</v>
      </c>
    </row>
    <row r="676" spans="2:2" x14ac:dyDescent="0.3">
      <c r="B676">
        <v>122</v>
      </c>
    </row>
    <row r="677" spans="2:2" x14ac:dyDescent="0.3">
      <c r="B677">
        <v>130</v>
      </c>
    </row>
    <row r="678" spans="2:2" x14ac:dyDescent="0.3">
      <c r="B678">
        <v>141</v>
      </c>
    </row>
    <row r="679" spans="2:2" x14ac:dyDescent="0.3">
      <c r="B679">
        <v>118</v>
      </c>
    </row>
    <row r="680" spans="2:2" x14ac:dyDescent="0.3">
      <c r="B680">
        <v>136</v>
      </c>
    </row>
    <row r="681" spans="2:2" x14ac:dyDescent="0.3">
      <c r="B681">
        <v>130</v>
      </c>
    </row>
    <row r="682" spans="2:2" x14ac:dyDescent="0.3">
      <c r="B682">
        <v>136</v>
      </c>
    </row>
    <row r="683" spans="2:2" x14ac:dyDescent="0.3">
      <c r="B683">
        <v>130</v>
      </c>
    </row>
    <row r="684" spans="2:2" x14ac:dyDescent="0.3">
      <c r="B684">
        <v>136</v>
      </c>
    </row>
    <row r="685" spans="2:2" x14ac:dyDescent="0.3">
      <c r="B685">
        <v>130</v>
      </c>
    </row>
    <row r="686" spans="2:2" x14ac:dyDescent="0.3">
      <c r="B686">
        <v>136</v>
      </c>
    </row>
    <row r="687" spans="2:2" x14ac:dyDescent="0.3">
      <c r="B687">
        <v>130</v>
      </c>
    </row>
    <row r="688" spans="2:2" x14ac:dyDescent="0.3">
      <c r="B688">
        <v>125</v>
      </c>
    </row>
    <row r="689" spans="2:2" x14ac:dyDescent="0.3">
      <c r="B689">
        <v>127</v>
      </c>
    </row>
    <row r="690" spans="2:2" x14ac:dyDescent="0.3">
      <c r="B690">
        <v>134</v>
      </c>
    </row>
    <row r="691" spans="2:2" x14ac:dyDescent="0.3">
      <c r="B691">
        <v>127</v>
      </c>
    </row>
    <row r="692" spans="2:2" x14ac:dyDescent="0.3">
      <c r="B692">
        <v>134</v>
      </c>
    </row>
    <row r="693" spans="2:2" x14ac:dyDescent="0.3">
      <c r="B693">
        <v>127</v>
      </c>
    </row>
    <row r="694" spans="2:2" x14ac:dyDescent="0.3">
      <c r="B694">
        <v>134</v>
      </c>
    </row>
    <row r="695" spans="2:2" x14ac:dyDescent="0.3">
      <c r="B695">
        <v>127</v>
      </c>
    </row>
    <row r="696" spans="2:2" x14ac:dyDescent="0.3">
      <c r="B696">
        <v>134</v>
      </c>
    </row>
    <row r="697" spans="2:2" x14ac:dyDescent="0.3">
      <c r="B697">
        <v>132</v>
      </c>
    </row>
    <row r="698" spans="2:2" x14ac:dyDescent="0.3">
      <c r="B698">
        <v>130</v>
      </c>
    </row>
    <row r="699" spans="2:2" x14ac:dyDescent="0.3">
      <c r="B699">
        <v>141</v>
      </c>
    </row>
    <row r="700" spans="2:2" x14ac:dyDescent="0.3">
      <c r="B700">
        <v>130</v>
      </c>
    </row>
    <row r="701" spans="2:2" x14ac:dyDescent="0.3">
      <c r="B701">
        <v>141</v>
      </c>
    </row>
    <row r="702" spans="2:2" x14ac:dyDescent="0.3">
      <c r="B702">
        <v>130</v>
      </c>
    </row>
    <row r="703" spans="2:2" x14ac:dyDescent="0.3">
      <c r="B703">
        <v>141</v>
      </c>
    </row>
    <row r="704" spans="2:2" x14ac:dyDescent="0.3">
      <c r="B704">
        <v>130</v>
      </c>
    </row>
    <row r="705" spans="2:2" x14ac:dyDescent="0.3">
      <c r="B705">
        <v>141</v>
      </c>
    </row>
    <row r="706" spans="2:2" x14ac:dyDescent="0.3">
      <c r="B706">
        <v>136</v>
      </c>
    </row>
    <row r="707" spans="2:2" x14ac:dyDescent="0.3">
      <c r="B707">
        <v>122</v>
      </c>
    </row>
    <row r="708" spans="2:2" x14ac:dyDescent="0.3">
      <c r="B708">
        <v>119</v>
      </c>
    </row>
    <row r="709" spans="2:2" x14ac:dyDescent="0.3">
      <c r="B709">
        <v>122</v>
      </c>
    </row>
    <row r="710" spans="2:2" x14ac:dyDescent="0.3">
      <c r="B710">
        <v>119</v>
      </c>
    </row>
    <row r="711" spans="2:2" x14ac:dyDescent="0.3">
      <c r="B711">
        <v>122</v>
      </c>
    </row>
    <row r="712" spans="2:2" x14ac:dyDescent="0.3">
      <c r="B712">
        <v>119</v>
      </c>
    </row>
    <row r="713" spans="2:2" x14ac:dyDescent="0.3">
      <c r="B713">
        <v>122</v>
      </c>
    </row>
    <row r="714" spans="2:2" x14ac:dyDescent="0.3">
      <c r="B714">
        <v>119</v>
      </c>
    </row>
    <row r="715" spans="2:2" x14ac:dyDescent="0.3">
      <c r="B715">
        <v>128</v>
      </c>
    </row>
    <row r="716" spans="2:2" x14ac:dyDescent="0.3">
      <c r="B716">
        <v>125</v>
      </c>
    </row>
    <row r="717" spans="2:2" x14ac:dyDescent="0.3">
      <c r="B717">
        <v>125</v>
      </c>
    </row>
    <row r="718" spans="2:2" x14ac:dyDescent="0.3">
      <c r="B718">
        <v>125</v>
      </c>
    </row>
    <row r="719" spans="2:2" x14ac:dyDescent="0.3">
      <c r="B719">
        <v>125</v>
      </c>
    </row>
    <row r="720" spans="2:2" x14ac:dyDescent="0.3">
      <c r="B720">
        <v>125</v>
      </c>
    </row>
    <row r="721" spans="2:2" x14ac:dyDescent="0.3">
      <c r="B721">
        <v>125</v>
      </c>
    </row>
    <row r="722" spans="2:2" x14ac:dyDescent="0.3">
      <c r="B722">
        <v>125</v>
      </c>
    </row>
    <row r="723" spans="2:2" x14ac:dyDescent="0.3">
      <c r="B723">
        <v>125</v>
      </c>
    </row>
    <row r="724" spans="2:2" x14ac:dyDescent="0.3">
      <c r="B724">
        <v>123</v>
      </c>
    </row>
    <row r="725" spans="2:2" x14ac:dyDescent="0.3">
      <c r="B725">
        <v>133</v>
      </c>
    </row>
    <row r="726" spans="2:2" x14ac:dyDescent="0.3">
      <c r="B726">
        <v>131</v>
      </c>
    </row>
    <row r="727" spans="2:2" x14ac:dyDescent="0.3">
      <c r="B727">
        <v>133</v>
      </c>
    </row>
    <row r="728" spans="2:2" x14ac:dyDescent="0.3">
      <c r="B728">
        <v>131</v>
      </c>
    </row>
    <row r="729" spans="2:2" x14ac:dyDescent="0.3">
      <c r="B729">
        <v>133</v>
      </c>
    </row>
    <row r="730" spans="2:2" x14ac:dyDescent="0.3">
      <c r="B730">
        <v>131</v>
      </c>
    </row>
    <row r="731" spans="2:2" x14ac:dyDescent="0.3">
      <c r="B731">
        <v>133</v>
      </c>
    </row>
    <row r="732" spans="2:2" x14ac:dyDescent="0.3">
      <c r="B732">
        <v>131</v>
      </c>
    </row>
    <row r="733" spans="2:2" x14ac:dyDescent="0.3">
      <c r="B733">
        <v>132</v>
      </c>
    </row>
    <row r="734" spans="2:2" x14ac:dyDescent="0.3">
      <c r="B734">
        <v>140</v>
      </c>
    </row>
    <row r="735" spans="2:2" x14ac:dyDescent="0.3">
      <c r="B735">
        <v>136</v>
      </c>
    </row>
    <row r="736" spans="2:2" x14ac:dyDescent="0.3">
      <c r="B736">
        <v>140</v>
      </c>
    </row>
    <row r="737" spans="2:2" x14ac:dyDescent="0.3">
      <c r="B737">
        <v>136</v>
      </c>
    </row>
    <row r="738" spans="2:2" x14ac:dyDescent="0.3">
      <c r="B738">
        <v>140</v>
      </c>
    </row>
    <row r="739" spans="2:2" x14ac:dyDescent="0.3">
      <c r="B739">
        <v>136</v>
      </c>
    </row>
    <row r="740" spans="2:2" x14ac:dyDescent="0.3">
      <c r="B740">
        <v>140</v>
      </c>
    </row>
    <row r="741" spans="2:2" x14ac:dyDescent="0.3">
      <c r="B741">
        <v>136</v>
      </c>
    </row>
    <row r="742" spans="2:2" x14ac:dyDescent="0.3">
      <c r="B742">
        <v>138</v>
      </c>
    </row>
    <row r="743" spans="2:2" x14ac:dyDescent="0.3">
      <c r="B743">
        <v>126</v>
      </c>
    </row>
    <row r="744" spans="2:2" x14ac:dyDescent="0.3">
      <c r="B744">
        <v>128</v>
      </c>
    </row>
    <row r="745" spans="2:2" x14ac:dyDescent="0.3">
      <c r="B745">
        <v>126</v>
      </c>
    </row>
    <row r="746" spans="2:2" x14ac:dyDescent="0.3">
      <c r="B746">
        <v>128</v>
      </c>
    </row>
    <row r="747" spans="2:2" x14ac:dyDescent="0.3">
      <c r="B747">
        <v>126</v>
      </c>
    </row>
    <row r="748" spans="2:2" x14ac:dyDescent="0.3">
      <c r="B748">
        <v>128</v>
      </c>
    </row>
    <row r="749" spans="2:2" x14ac:dyDescent="0.3">
      <c r="B749">
        <v>126</v>
      </c>
    </row>
    <row r="750" spans="2:2" x14ac:dyDescent="0.3">
      <c r="B750">
        <v>128</v>
      </c>
    </row>
    <row r="751" spans="2:2" x14ac:dyDescent="0.3">
      <c r="B751">
        <v>126</v>
      </c>
    </row>
    <row r="752" spans="2:2" x14ac:dyDescent="0.3">
      <c r="B752">
        <v>133</v>
      </c>
    </row>
    <row r="753" spans="2:2" x14ac:dyDescent="0.3">
      <c r="B753">
        <v>124</v>
      </c>
    </row>
    <row r="754" spans="2:2" x14ac:dyDescent="0.3">
      <c r="B754">
        <v>133</v>
      </c>
    </row>
    <row r="755" spans="2:2" x14ac:dyDescent="0.3">
      <c r="B755">
        <v>124</v>
      </c>
    </row>
    <row r="756" spans="2:2" x14ac:dyDescent="0.3">
      <c r="B756">
        <v>133</v>
      </c>
    </row>
    <row r="757" spans="2:2" x14ac:dyDescent="0.3">
      <c r="B757">
        <v>124</v>
      </c>
    </row>
    <row r="758" spans="2:2" x14ac:dyDescent="0.3">
      <c r="B758">
        <v>133</v>
      </c>
    </row>
    <row r="759" spans="2:2" x14ac:dyDescent="0.3">
      <c r="B759">
        <v>124</v>
      </c>
    </row>
    <row r="760" spans="2:2" x14ac:dyDescent="0.3">
      <c r="B760">
        <v>129</v>
      </c>
    </row>
    <row r="761" spans="2:2" x14ac:dyDescent="0.3">
      <c r="B761">
        <v>135</v>
      </c>
    </row>
    <row r="762" spans="2:2" x14ac:dyDescent="0.3">
      <c r="B762">
        <v>135</v>
      </c>
    </row>
    <row r="763" spans="2:2" x14ac:dyDescent="0.3">
      <c r="B763">
        <v>132</v>
      </c>
    </row>
    <row r="764" spans="2:2" x14ac:dyDescent="0.3">
      <c r="B764">
        <v>135</v>
      </c>
    </row>
    <row r="765" spans="2:2" x14ac:dyDescent="0.3">
      <c r="B765">
        <v>132</v>
      </c>
    </row>
    <row r="766" spans="2:2" x14ac:dyDescent="0.3">
      <c r="B766">
        <v>135</v>
      </c>
    </row>
    <row r="767" spans="2:2" x14ac:dyDescent="0.3">
      <c r="B767">
        <v>132</v>
      </c>
    </row>
    <row r="772" spans="1:18" x14ac:dyDescent="0.3">
      <c r="A772">
        <v>14</v>
      </c>
    </row>
    <row r="773" spans="1:18" x14ac:dyDescent="0.3">
      <c r="O773" t="s">
        <v>9</v>
      </c>
      <c r="P773" t="s">
        <v>27</v>
      </c>
      <c r="Q773" t="s">
        <v>26</v>
      </c>
      <c r="R773" t="s">
        <v>23</v>
      </c>
    </row>
    <row r="774" spans="1:18" x14ac:dyDescent="0.3">
      <c r="C774" t="s">
        <v>44</v>
      </c>
      <c r="D774">
        <v>45</v>
      </c>
      <c r="E774">
        <v>35</v>
      </c>
      <c r="F774">
        <v>40</v>
      </c>
      <c r="G774">
        <v>38</v>
      </c>
      <c r="H774">
        <v>42</v>
      </c>
      <c r="I774">
        <v>37</v>
      </c>
      <c r="J774">
        <v>39</v>
      </c>
      <c r="K774">
        <v>43</v>
      </c>
      <c r="L774">
        <v>44</v>
      </c>
      <c r="M774">
        <v>41</v>
      </c>
      <c r="O774">
        <f>AVERAGE(D774:M774)</f>
        <v>40.4</v>
      </c>
      <c r="P774">
        <f>MAX(D774:M774)</f>
        <v>45</v>
      </c>
      <c r="Q774">
        <f>MIN(D774:M774)</f>
        <v>35</v>
      </c>
      <c r="R774">
        <f>P774-Q774</f>
        <v>10</v>
      </c>
    </row>
    <row r="775" spans="1:18" x14ac:dyDescent="0.3">
      <c r="C775" t="s">
        <v>42</v>
      </c>
      <c r="D775">
        <v>32</v>
      </c>
      <c r="E775">
        <v>28</v>
      </c>
      <c r="F775">
        <v>30</v>
      </c>
      <c r="G775">
        <v>34</v>
      </c>
      <c r="H775">
        <v>33</v>
      </c>
      <c r="I775">
        <v>35</v>
      </c>
      <c r="J775">
        <v>31</v>
      </c>
      <c r="K775">
        <v>29</v>
      </c>
      <c r="L775">
        <v>36</v>
      </c>
      <c r="M775">
        <v>37</v>
      </c>
      <c r="O775">
        <f t="shared" ref="O775:O776" si="5">AVERAGE(D775:M775)</f>
        <v>32.5</v>
      </c>
      <c r="P775">
        <f t="shared" ref="P775:P776" si="6">MAX(D775:M775)</f>
        <v>37</v>
      </c>
      <c r="Q775">
        <f t="shared" ref="Q775:Q776" si="7">MIN(D775:M775)</f>
        <v>28</v>
      </c>
      <c r="R775">
        <f t="shared" ref="R775:R776" si="8">P775-Q775</f>
        <v>9</v>
      </c>
    </row>
    <row r="776" spans="1:18" x14ac:dyDescent="0.3">
      <c r="C776" t="s">
        <v>43</v>
      </c>
      <c r="D776">
        <v>40</v>
      </c>
      <c r="E776">
        <v>39</v>
      </c>
      <c r="F776">
        <v>42</v>
      </c>
      <c r="G776">
        <v>41</v>
      </c>
      <c r="H776">
        <v>38</v>
      </c>
      <c r="I776">
        <v>43</v>
      </c>
      <c r="J776">
        <v>45</v>
      </c>
      <c r="K776">
        <v>44</v>
      </c>
      <c r="L776">
        <v>41</v>
      </c>
      <c r="M776">
        <v>37</v>
      </c>
      <c r="O776">
        <f t="shared" si="5"/>
        <v>41</v>
      </c>
      <c r="P776">
        <f t="shared" si="6"/>
        <v>45</v>
      </c>
      <c r="Q776">
        <f t="shared" si="7"/>
        <v>37</v>
      </c>
      <c r="R776">
        <f t="shared" si="8"/>
        <v>8</v>
      </c>
    </row>
    <row r="780" spans="1:18" x14ac:dyDescent="0.3">
      <c r="A780" s="1"/>
      <c r="B780" s="1"/>
      <c r="C780" s="1"/>
      <c r="D780" s="1"/>
      <c r="E780" s="1"/>
    </row>
  </sheetData>
  <mergeCells count="2">
    <mergeCell ref="A83:B83"/>
    <mergeCell ref="A780:E780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 Patel</dc:creator>
  <cp:lastModifiedBy>Siddh Patel</cp:lastModifiedBy>
  <dcterms:created xsi:type="dcterms:W3CDTF">2023-11-24T16:39:27Z</dcterms:created>
  <dcterms:modified xsi:type="dcterms:W3CDTF">2023-11-27T09:11:25Z</dcterms:modified>
</cp:coreProperties>
</file>